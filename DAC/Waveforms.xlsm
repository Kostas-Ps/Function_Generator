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kostas\Electronics\Function Generator Round 2\DAC\"/>
    </mc:Choice>
  </mc:AlternateContent>
  <xr:revisionPtr revIDLastSave="0" documentId="13_ncr:1_{31CE3C69-F9FA-4C33-B3F9-F3A80703CFF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Φύλλο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3" i="1" l="1"/>
  <c r="A73" i="1"/>
  <c r="C73" i="1" s="1"/>
  <c r="C38" i="1" s="1"/>
  <c r="O73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30" i="1"/>
  <c r="C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" i="1"/>
  <c r="N25" i="1"/>
  <c r="M25" i="1"/>
  <c r="O25" i="1" s="1"/>
  <c r="B25" i="1"/>
  <c r="A25" i="1" s="1"/>
  <c r="C25" i="1" s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G73" i="1"/>
  <c r="I73" i="1" s="1"/>
  <c r="M73" i="1"/>
  <c r="I5" i="1"/>
  <c r="I12" i="1"/>
  <c r="H25" i="1"/>
  <c r="G25" i="1" s="1"/>
  <c r="I25" i="1" s="1"/>
  <c r="I6" i="1" s="1"/>
  <c r="C30" i="1" l="1"/>
  <c r="C31" i="1"/>
  <c r="C45" i="1"/>
  <c r="C68" i="1"/>
  <c r="C60" i="1"/>
  <c r="C52" i="1"/>
  <c r="C44" i="1"/>
  <c r="C36" i="1"/>
  <c r="C69" i="1"/>
  <c r="C53" i="1"/>
  <c r="C67" i="1"/>
  <c r="C59" i="1"/>
  <c r="C51" i="1"/>
  <c r="C43" i="1"/>
  <c r="C35" i="1"/>
  <c r="C61" i="1"/>
  <c r="C37" i="1"/>
  <c r="C66" i="1"/>
  <c r="C58" i="1"/>
  <c r="C50" i="1"/>
  <c r="C42" i="1"/>
  <c r="C34" i="1"/>
  <c r="C33" i="1"/>
  <c r="C64" i="1"/>
  <c r="C56" i="1"/>
  <c r="C48" i="1"/>
  <c r="C40" i="1"/>
  <c r="C32" i="1"/>
  <c r="C65" i="1"/>
  <c r="C41" i="1"/>
  <c r="C63" i="1"/>
  <c r="C55" i="1"/>
  <c r="C47" i="1"/>
  <c r="C39" i="1"/>
  <c r="C57" i="1"/>
  <c r="C49" i="1"/>
  <c r="C70" i="1"/>
  <c r="C62" i="1"/>
  <c r="C54" i="1"/>
  <c r="C46" i="1"/>
  <c r="I21" i="1"/>
  <c r="I20" i="1"/>
  <c r="I4" i="1"/>
  <c r="I17" i="1"/>
  <c r="I13" i="1"/>
  <c r="I9" i="1"/>
  <c r="I19" i="1"/>
  <c r="I11" i="1"/>
  <c r="I3" i="1"/>
  <c r="I18" i="1"/>
  <c r="I10" i="1"/>
  <c r="I16" i="1"/>
  <c r="I8" i="1"/>
  <c r="I2" i="1"/>
  <c r="I15" i="1"/>
  <c r="I7" i="1"/>
  <c r="I22" i="1"/>
  <c r="I14" i="1"/>
  <c r="C10" i="1"/>
  <c r="C11" i="1"/>
  <c r="C4" i="1"/>
  <c r="C12" i="1"/>
  <c r="C20" i="1"/>
  <c r="C13" i="1"/>
  <c r="C21" i="1"/>
  <c r="C14" i="1"/>
  <c r="C22" i="1"/>
  <c r="C16" i="1"/>
  <c r="C9" i="1"/>
  <c r="C5" i="1"/>
  <c r="C6" i="1"/>
  <c r="C7" i="1"/>
  <c r="C15" i="1"/>
  <c r="C3" i="1"/>
  <c r="C8" i="1"/>
  <c r="C17" i="1"/>
  <c r="C18" i="1"/>
  <c r="C19" i="1"/>
  <c r="O47" i="1"/>
  <c r="O49" i="1"/>
  <c r="O57" i="1"/>
  <c r="O65" i="1"/>
  <c r="O53" i="1"/>
  <c r="O50" i="1"/>
  <c r="O58" i="1"/>
  <c r="O66" i="1"/>
  <c r="O61" i="1"/>
  <c r="O64" i="1"/>
  <c r="O51" i="1"/>
  <c r="O59" i="1"/>
  <c r="O67" i="1"/>
  <c r="O41" i="1"/>
  <c r="O48" i="1"/>
  <c r="O36" i="1"/>
  <c r="O52" i="1"/>
  <c r="O60" i="1"/>
  <c r="O68" i="1"/>
  <c r="O69" i="1"/>
  <c r="O56" i="1"/>
  <c r="O44" i="1"/>
  <c r="O54" i="1"/>
  <c r="O62" i="1"/>
  <c r="O70" i="1"/>
  <c r="O45" i="1"/>
  <c r="O55" i="1"/>
  <c r="O63" i="1"/>
  <c r="O30" i="1"/>
  <c r="I42" i="1"/>
  <c r="I36" i="1"/>
  <c r="I48" i="1"/>
  <c r="I56" i="1"/>
  <c r="I64" i="1"/>
  <c r="I47" i="1"/>
  <c r="I40" i="1"/>
  <c r="I49" i="1"/>
  <c r="I57" i="1"/>
  <c r="I65" i="1"/>
  <c r="I41" i="1"/>
  <c r="I50" i="1"/>
  <c r="I58" i="1"/>
  <c r="I66" i="1"/>
  <c r="I44" i="1"/>
  <c r="I52" i="1"/>
  <c r="I60" i="1"/>
  <c r="I68" i="1"/>
  <c r="I63" i="1"/>
  <c r="I43" i="1"/>
  <c r="I51" i="1"/>
  <c r="I59" i="1"/>
  <c r="I67" i="1"/>
  <c r="I45" i="1"/>
  <c r="I53" i="1"/>
  <c r="I61" i="1"/>
  <c r="I69" i="1"/>
  <c r="I46" i="1"/>
  <c r="I54" i="1"/>
  <c r="I62" i="1"/>
  <c r="I70" i="1"/>
  <c r="I33" i="1"/>
  <c r="I55" i="1"/>
  <c r="I30" i="1"/>
  <c r="O37" i="1"/>
  <c r="O33" i="1"/>
  <c r="O38" i="1"/>
  <c r="I39" i="1"/>
  <c r="I37" i="1"/>
  <c r="I35" i="1"/>
  <c r="I38" i="1"/>
  <c r="O43" i="1"/>
  <c r="O35" i="1"/>
  <c r="O42" i="1"/>
  <c r="O34" i="1"/>
  <c r="O40" i="1"/>
  <c r="O32" i="1"/>
  <c r="O39" i="1"/>
  <c r="O31" i="1"/>
  <c r="O46" i="1"/>
  <c r="I34" i="1"/>
  <c r="I32" i="1"/>
  <c r="I31" i="1"/>
  <c r="D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870C45-C708-4E97-BE16-6CB1B69352AE}" keepAlive="1" name="Query - 10pointTRIANG" description="Connection to the '10pointTRIANG' query in the workbook." type="5" refreshedVersion="8" background="1" saveData="1">
    <dbPr connection="Provider=Microsoft.Mashup.OleDb.1;Data Source=$Workbook$;Location=10pointTRIANG;Extended Properties=&quot;&quot;" command="SELECT * FROM [10pointTRIANG]"/>
  </connection>
</connections>
</file>

<file path=xl/sharedStrings.xml><?xml version="1.0" encoding="utf-8"?>
<sst xmlns="http://schemas.openxmlformats.org/spreadsheetml/2006/main" count="45" uniqueCount="10">
  <si>
    <t>Time(ns)</t>
  </si>
  <si>
    <t>Time(s)</t>
  </si>
  <si>
    <t>Sine wave</t>
  </si>
  <si>
    <t>Points</t>
  </si>
  <si>
    <t>Sawtooth</t>
  </si>
  <si>
    <t>Triangular</t>
  </si>
  <si>
    <t>Period</t>
  </si>
  <si>
    <t>Frequency</t>
  </si>
  <si>
    <t>Multiplier</t>
  </si>
  <si>
    <t>Amplitude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</si>
</sst>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1" fillId="0" borderId="3" xfId="0" applyFont="1" applyBorder="1"/>
    <xf numFmtId="0" fontId="0" fillId="0" borderId="7" xfId="0" applyBorder="1" applyAlignment="1">
      <alignment vertical="center" wrapText="1"/>
    </xf>
    <xf numFmtId="0" fontId="0" fillId="0" borderId="8" xfId="0" applyBorder="1"/>
    <xf numFmtId="0" fontId="0" fillId="2" borderId="7" xfId="0" applyFill="1" applyBorder="1"/>
    <xf numFmtId="0" fontId="0" fillId="2" borderId="0" xfId="0" applyFill="1"/>
    <xf numFmtId="0" fontId="0" fillId="2" borderId="5" xfId="0" applyFill="1" applyBorder="1"/>
    <xf numFmtId="0" fontId="0" fillId="2" borderId="8" xfId="0" applyFill="1" applyBorder="1"/>
    <xf numFmtId="0" fontId="0" fillId="2" borderId="5" xfId="0" applyFill="1" applyBorder="1" applyAlignment="1">
      <alignment vertical="center" wrapText="1"/>
    </xf>
    <xf numFmtId="0" fontId="0" fillId="3" borderId="7" xfId="0" applyFill="1" applyBorder="1"/>
    <xf numFmtId="0" fontId="0" fillId="2" borderId="10" xfId="0" applyFill="1" applyBorder="1"/>
    <xf numFmtId="0" fontId="0" fillId="5" borderId="0" xfId="0" applyFill="1"/>
    <xf numFmtId="0" fontId="0" fillId="0" borderId="11" xfId="0" applyBorder="1"/>
    <xf numFmtId="0" fontId="0" fillId="3" borderId="12" xfId="0" applyFill="1" applyBorder="1"/>
    <xf numFmtId="0" fontId="0" fillId="6" borderId="0" xfId="0" applyFill="1"/>
    <xf numFmtId="0" fontId="0" fillId="6" borderId="5" xfId="0" applyFill="1" applyBorder="1" applyAlignment="1">
      <alignment vertical="center" wrapText="1"/>
    </xf>
    <xf numFmtId="0" fontId="0" fillId="6" borderId="8" xfId="0" applyFill="1" applyBorder="1" applyAlignment="1">
      <alignment vertical="center" wrapText="1"/>
    </xf>
    <xf numFmtId="0" fontId="0" fillId="4" borderId="0" xfId="0" applyFill="1"/>
    <xf numFmtId="0" fontId="0" fillId="4" borderId="0" xfId="0" applyFill="1" applyAlignment="1">
      <alignment vertical="center" wrapText="1"/>
    </xf>
    <xf numFmtId="11" fontId="0" fillId="0" borderId="8" xfId="0" applyNumberFormat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6" borderId="5" xfId="0" applyFill="1" applyBorder="1"/>
    <xf numFmtId="0" fontId="0" fillId="6" borderId="9" xfId="0" applyFill="1" applyBorder="1" applyAlignment="1">
      <alignment vertical="center" wrapText="1"/>
    </xf>
    <xf numFmtId="11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3"/>
  <sheetViews>
    <sheetView tabSelected="1" topLeftCell="A42" zoomScale="70" zoomScaleNormal="70" workbookViewId="0">
      <selection activeCell="H76" sqref="H76"/>
    </sheetView>
  </sheetViews>
  <sheetFormatPr defaultRowHeight="14.4" x14ac:dyDescent="0.3"/>
  <cols>
    <col min="2" max="2" width="10.5546875" customWidth="1"/>
    <col min="3" max="3" width="16.109375" customWidth="1"/>
    <col min="4" max="4" width="10.5546875" customWidth="1"/>
    <col min="6" max="6" width="8.77734375" customWidth="1"/>
    <col min="7" max="7" width="8.6640625" customWidth="1"/>
    <col min="8" max="8" width="10.44140625" customWidth="1"/>
    <col min="9" max="9" width="13.6640625" customWidth="1"/>
    <col min="13" max="13" width="8.88671875" customWidth="1"/>
    <col min="14" max="14" width="10.44140625" customWidth="1"/>
    <col min="15" max="15" width="13.109375" customWidth="1"/>
    <col min="16" max="16" width="11.109375" customWidth="1"/>
    <col min="18" max="18" width="16.33203125" customWidth="1"/>
  </cols>
  <sheetData>
    <row r="1" spans="1:16" x14ac:dyDescent="0.3">
      <c r="A1" s="2" t="s">
        <v>3</v>
      </c>
      <c r="B1" s="3" t="s">
        <v>0</v>
      </c>
      <c r="C1" s="3" t="s">
        <v>1</v>
      </c>
      <c r="D1" s="4" t="s">
        <v>2</v>
      </c>
      <c r="G1" s="2" t="s">
        <v>3</v>
      </c>
      <c r="H1" s="3" t="s">
        <v>0</v>
      </c>
      <c r="I1" s="3" t="s">
        <v>1</v>
      </c>
      <c r="J1" s="4" t="s">
        <v>4</v>
      </c>
      <c r="M1" s="2" t="s">
        <v>3</v>
      </c>
      <c r="N1" s="3" t="s">
        <v>0</v>
      </c>
      <c r="O1" s="3" t="s">
        <v>1</v>
      </c>
      <c r="P1" s="9" t="s">
        <v>5</v>
      </c>
    </row>
    <row r="2" spans="1:16" x14ac:dyDescent="0.3">
      <c r="A2" s="5">
        <v>0</v>
      </c>
      <c r="B2">
        <v>0</v>
      </c>
      <c r="C2" s="13">
        <f>B2*500*10^-9</f>
        <v>0</v>
      </c>
      <c r="D2" s="14">
        <v>0.5</v>
      </c>
      <c r="G2" s="5">
        <v>0</v>
      </c>
      <c r="H2">
        <v>0</v>
      </c>
      <c r="I2" s="13">
        <f>H2*$I$25</f>
        <v>0</v>
      </c>
      <c r="J2" s="16">
        <v>0</v>
      </c>
      <c r="K2" s="1"/>
      <c r="M2" s="5">
        <v>0</v>
      </c>
      <c r="N2">
        <v>0</v>
      </c>
      <c r="O2" s="13">
        <f>$N2*$O$25</f>
        <v>0</v>
      </c>
      <c r="P2" s="14">
        <v>0</v>
      </c>
    </row>
    <row r="3" spans="1:16" x14ac:dyDescent="0.3">
      <c r="A3" s="5">
        <v>0</v>
      </c>
      <c r="B3">
        <v>99</v>
      </c>
      <c r="C3" s="13">
        <f>B3*$C$25</f>
        <v>9.8999999999999987E-8</v>
      </c>
      <c r="D3" s="14">
        <v>0.5</v>
      </c>
      <c r="G3" s="5">
        <v>0</v>
      </c>
      <c r="H3">
        <v>99</v>
      </c>
      <c r="I3" s="13">
        <f t="shared" ref="I3:I22" si="0">H3*$I$25</f>
        <v>9.8999999999999987E-8</v>
      </c>
      <c r="J3" s="14">
        <v>0</v>
      </c>
      <c r="M3" s="5">
        <v>0</v>
      </c>
      <c r="N3">
        <v>99</v>
      </c>
      <c r="O3" s="13">
        <f t="shared" ref="O3:O22" si="1">$N3*$O$25</f>
        <v>9.9000000000000005E-7</v>
      </c>
      <c r="P3" s="14">
        <v>0</v>
      </c>
    </row>
    <row r="4" spans="1:16" x14ac:dyDescent="0.3">
      <c r="A4" s="5">
        <v>1</v>
      </c>
      <c r="B4" s="6">
        <v>100</v>
      </c>
      <c r="C4" s="13">
        <f t="shared" ref="C4:C22" si="2">B4*$C$25</f>
        <v>9.9999999999999982E-8</v>
      </c>
      <c r="D4" s="14">
        <v>0.79</v>
      </c>
      <c r="G4" s="5">
        <v>1</v>
      </c>
      <c r="H4" s="6">
        <v>100</v>
      </c>
      <c r="I4" s="13">
        <f t="shared" si="0"/>
        <v>9.9999999999999982E-8</v>
      </c>
      <c r="J4" s="16">
        <v>0.1</v>
      </c>
      <c r="K4" s="1"/>
      <c r="M4" s="5">
        <v>1</v>
      </c>
      <c r="N4" s="6">
        <v>100</v>
      </c>
      <c r="O4" s="13">
        <f t="shared" si="1"/>
        <v>9.9999999999999995E-7</v>
      </c>
      <c r="P4" s="14">
        <v>0.2</v>
      </c>
    </row>
    <row r="5" spans="1:16" x14ac:dyDescent="0.3">
      <c r="A5" s="5">
        <v>1</v>
      </c>
      <c r="B5" s="6">
        <v>199</v>
      </c>
      <c r="C5" s="13">
        <f t="shared" si="2"/>
        <v>1.9899999999999997E-7</v>
      </c>
      <c r="D5" s="14">
        <v>0.79</v>
      </c>
      <c r="G5" s="5">
        <v>1</v>
      </c>
      <c r="H5" s="6">
        <v>199</v>
      </c>
      <c r="I5" s="13">
        <f t="shared" si="0"/>
        <v>1.9899999999999997E-7</v>
      </c>
      <c r="J5" s="16">
        <v>0.1</v>
      </c>
      <c r="K5" s="1"/>
      <c r="M5" s="5">
        <v>1</v>
      </c>
      <c r="N5" s="6">
        <v>199</v>
      </c>
      <c r="O5" s="13">
        <f t="shared" si="1"/>
        <v>1.99E-6</v>
      </c>
      <c r="P5" s="14">
        <v>0.2</v>
      </c>
    </row>
    <row r="6" spans="1:16" x14ac:dyDescent="0.3">
      <c r="A6" s="5">
        <v>2</v>
      </c>
      <c r="B6" s="6">
        <v>200</v>
      </c>
      <c r="C6" s="13">
        <f t="shared" si="2"/>
        <v>1.9999999999999996E-7</v>
      </c>
      <c r="D6" s="14">
        <v>0.97499999999999998</v>
      </c>
      <c r="G6" s="5">
        <v>2</v>
      </c>
      <c r="H6" s="6">
        <v>200</v>
      </c>
      <c r="I6" s="13">
        <f t="shared" si="0"/>
        <v>1.9999999999999996E-7</v>
      </c>
      <c r="J6" s="16">
        <v>0.2</v>
      </c>
      <c r="K6" s="1"/>
      <c r="M6" s="5">
        <v>2</v>
      </c>
      <c r="N6" s="6">
        <v>200</v>
      </c>
      <c r="O6" s="13">
        <f t="shared" si="1"/>
        <v>1.9999999999999999E-6</v>
      </c>
      <c r="P6" s="14">
        <v>0.4</v>
      </c>
    </row>
    <row r="7" spans="1:16" x14ac:dyDescent="0.3">
      <c r="A7" s="5">
        <v>2</v>
      </c>
      <c r="B7" s="6">
        <v>299</v>
      </c>
      <c r="C7" s="13">
        <f t="shared" si="2"/>
        <v>2.9899999999999996E-7</v>
      </c>
      <c r="D7" s="14">
        <v>0.97499999999999998</v>
      </c>
      <c r="G7" s="5">
        <v>2</v>
      </c>
      <c r="H7" s="6">
        <v>299</v>
      </c>
      <c r="I7" s="13">
        <f t="shared" si="0"/>
        <v>2.9899999999999996E-7</v>
      </c>
      <c r="J7" s="16">
        <v>0.2</v>
      </c>
      <c r="K7" s="1"/>
      <c r="M7" s="5">
        <v>2</v>
      </c>
      <c r="N7" s="6">
        <v>299</v>
      </c>
      <c r="O7" s="13">
        <f t="shared" si="1"/>
        <v>2.9900000000000002E-6</v>
      </c>
      <c r="P7" s="14">
        <v>0.4</v>
      </c>
    </row>
    <row r="8" spans="1:16" x14ac:dyDescent="0.3">
      <c r="A8" s="5">
        <v>3</v>
      </c>
      <c r="B8" s="6">
        <v>300</v>
      </c>
      <c r="C8" s="13">
        <f t="shared" si="2"/>
        <v>2.9999999999999993E-7</v>
      </c>
      <c r="D8" s="14">
        <v>0.97499999999999998</v>
      </c>
      <c r="G8" s="5">
        <v>3</v>
      </c>
      <c r="H8" s="6">
        <v>300</v>
      </c>
      <c r="I8" s="13">
        <f t="shared" si="0"/>
        <v>2.9999999999999993E-7</v>
      </c>
      <c r="J8" s="16">
        <v>0.3</v>
      </c>
      <c r="K8" s="1"/>
      <c r="M8" s="5">
        <v>3</v>
      </c>
      <c r="N8" s="6">
        <v>300</v>
      </c>
      <c r="O8" s="13">
        <f t="shared" si="1"/>
        <v>3.0000000000000001E-6</v>
      </c>
      <c r="P8" s="14">
        <v>0.6</v>
      </c>
    </row>
    <row r="9" spans="1:16" x14ac:dyDescent="0.3">
      <c r="A9" s="5">
        <v>3</v>
      </c>
      <c r="B9" s="6">
        <v>399</v>
      </c>
      <c r="C9" s="13">
        <f t="shared" si="2"/>
        <v>3.9899999999999996E-7</v>
      </c>
      <c r="D9" s="14">
        <v>0.97499999999999998</v>
      </c>
      <c r="G9" s="5">
        <v>3</v>
      </c>
      <c r="H9" s="6">
        <v>399</v>
      </c>
      <c r="I9" s="13">
        <f t="shared" si="0"/>
        <v>3.9899999999999996E-7</v>
      </c>
      <c r="J9" s="16">
        <v>0.3</v>
      </c>
      <c r="K9" s="1"/>
      <c r="M9" s="5">
        <v>3</v>
      </c>
      <c r="N9" s="6">
        <v>399</v>
      </c>
      <c r="O9" s="13">
        <f t="shared" si="1"/>
        <v>3.9899999999999999E-6</v>
      </c>
      <c r="P9" s="14">
        <v>0.6</v>
      </c>
    </row>
    <row r="10" spans="1:16" x14ac:dyDescent="0.3">
      <c r="A10" s="5">
        <v>4</v>
      </c>
      <c r="B10" s="6">
        <v>400</v>
      </c>
      <c r="C10" s="13">
        <f t="shared" si="2"/>
        <v>3.9999999999999993E-7</v>
      </c>
      <c r="D10" s="14">
        <v>0.79</v>
      </c>
      <c r="G10" s="5">
        <v>4</v>
      </c>
      <c r="H10" s="6">
        <v>400</v>
      </c>
      <c r="I10" s="13">
        <f t="shared" si="0"/>
        <v>3.9999999999999993E-7</v>
      </c>
      <c r="J10" s="16">
        <v>0.4</v>
      </c>
      <c r="K10" s="1"/>
      <c r="M10" s="5">
        <v>4</v>
      </c>
      <c r="N10" s="6">
        <v>400</v>
      </c>
      <c r="O10" s="13">
        <f t="shared" si="1"/>
        <v>3.9999999999999998E-6</v>
      </c>
      <c r="P10" s="14">
        <v>0.8</v>
      </c>
    </row>
    <row r="11" spans="1:16" x14ac:dyDescent="0.3">
      <c r="A11" s="5">
        <v>4</v>
      </c>
      <c r="B11" s="6">
        <v>499</v>
      </c>
      <c r="C11" s="13">
        <f t="shared" si="2"/>
        <v>4.989999999999999E-7</v>
      </c>
      <c r="D11" s="14">
        <v>0.79</v>
      </c>
      <c r="G11" s="5">
        <v>4</v>
      </c>
      <c r="H11" s="6">
        <v>499</v>
      </c>
      <c r="I11" s="13">
        <f t="shared" si="0"/>
        <v>4.989999999999999E-7</v>
      </c>
      <c r="J11" s="16">
        <v>0.4</v>
      </c>
      <c r="K11" s="1"/>
      <c r="M11" s="5">
        <v>4</v>
      </c>
      <c r="N11" s="6">
        <v>499</v>
      </c>
      <c r="O11" s="13">
        <f t="shared" si="1"/>
        <v>4.9900000000000005E-6</v>
      </c>
      <c r="P11" s="14">
        <v>0.8</v>
      </c>
    </row>
    <row r="12" spans="1:16" x14ac:dyDescent="0.3">
      <c r="A12" s="5">
        <v>5</v>
      </c>
      <c r="B12" s="6">
        <v>500</v>
      </c>
      <c r="C12" s="13">
        <f t="shared" si="2"/>
        <v>4.9999999999999998E-7</v>
      </c>
      <c r="D12" s="14">
        <v>0.5</v>
      </c>
      <c r="G12" s="5">
        <v>5</v>
      </c>
      <c r="H12" s="6">
        <v>500</v>
      </c>
      <c r="I12" s="13">
        <f t="shared" si="0"/>
        <v>4.9999999999999998E-7</v>
      </c>
      <c r="J12" s="16">
        <v>0.5</v>
      </c>
      <c r="K12" s="1"/>
      <c r="M12" s="5">
        <v>5</v>
      </c>
      <c r="N12" s="6">
        <v>500</v>
      </c>
      <c r="O12" s="13">
        <f t="shared" si="1"/>
        <v>5.0000000000000004E-6</v>
      </c>
      <c r="P12" s="14">
        <v>1</v>
      </c>
    </row>
    <row r="13" spans="1:16" x14ac:dyDescent="0.3">
      <c r="A13" s="5">
        <v>5</v>
      </c>
      <c r="B13" s="6">
        <v>599</v>
      </c>
      <c r="C13" s="13">
        <f t="shared" si="2"/>
        <v>5.989999999999999E-7</v>
      </c>
      <c r="D13" s="14">
        <v>0.5</v>
      </c>
      <c r="G13" s="5">
        <v>5</v>
      </c>
      <c r="H13" s="6">
        <v>599</v>
      </c>
      <c r="I13" s="13">
        <f t="shared" si="0"/>
        <v>5.989999999999999E-7</v>
      </c>
      <c r="J13" s="16">
        <v>0.5</v>
      </c>
      <c r="K13" s="1"/>
      <c r="M13" s="5">
        <v>5</v>
      </c>
      <c r="N13" s="6">
        <v>599</v>
      </c>
      <c r="O13" s="13">
        <f t="shared" si="1"/>
        <v>5.9900000000000002E-6</v>
      </c>
      <c r="P13" s="14">
        <v>1</v>
      </c>
    </row>
    <row r="14" spans="1:16" x14ac:dyDescent="0.3">
      <c r="A14" s="5">
        <v>6</v>
      </c>
      <c r="B14" s="6">
        <v>600</v>
      </c>
      <c r="C14" s="13">
        <f t="shared" si="2"/>
        <v>5.9999999999999987E-7</v>
      </c>
      <c r="D14" s="14">
        <v>0.21</v>
      </c>
      <c r="G14" s="5">
        <v>6</v>
      </c>
      <c r="H14" s="6">
        <v>600</v>
      </c>
      <c r="I14" s="13">
        <f t="shared" si="0"/>
        <v>5.9999999999999987E-7</v>
      </c>
      <c r="J14" s="16">
        <v>0.6</v>
      </c>
      <c r="K14" s="1"/>
      <c r="M14" s="5">
        <v>6</v>
      </c>
      <c r="N14" s="6">
        <v>600</v>
      </c>
      <c r="O14" s="13">
        <f t="shared" si="1"/>
        <v>6.0000000000000002E-6</v>
      </c>
      <c r="P14" s="14">
        <v>0.8</v>
      </c>
    </row>
    <row r="15" spans="1:16" x14ac:dyDescent="0.3">
      <c r="A15" s="5">
        <v>6</v>
      </c>
      <c r="B15" s="6">
        <v>699</v>
      </c>
      <c r="C15" s="13">
        <f t="shared" si="2"/>
        <v>6.9899999999999989E-7</v>
      </c>
      <c r="D15" s="14">
        <v>0.21</v>
      </c>
      <c r="G15" s="5">
        <v>6</v>
      </c>
      <c r="H15" s="6">
        <v>699</v>
      </c>
      <c r="I15" s="13">
        <f t="shared" si="0"/>
        <v>6.9899999999999989E-7</v>
      </c>
      <c r="J15" s="16">
        <v>0.6</v>
      </c>
      <c r="K15" s="1"/>
      <c r="M15" s="5">
        <v>6</v>
      </c>
      <c r="N15" s="6">
        <v>699</v>
      </c>
      <c r="O15" s="13">
        <f t="shared" si="1"/>
        <v>6.99E-6</v>
      </c>
      <c r="P15" s="14">
        <v>0.8</v>
      </c>
    </row>
    <row r="16" spans="1:16" x14ac:dyDescent="0.3">
      <c r="A16" s="5">
        <v>7</v>
      </c>
      <c r="B16" s="6">
        <v>700</v>
      </c>
      <c r="C16" s="13">
        <f t="shared" si="2"/>
        <v>6.9999999999999986E-7</v>
      </c>
      <c r="D16" s="14">
        <v>2.5000000000000001E-2</v>
      </c>
      <c r="G16" s="5">
        <v>7</v>
      </c>
      <c r="H16" s="6">
        <v>700</v>
      </c>
      <c r="I16" s="13">
        <f t="shared" si="0"/>
        <v>6.9999999999999986E-7</v>
      </c>
      <c r="J16" s="16">
        <v>0.7</v>
      </c>
      <c r="K16" s="1"/>
      <c r="M16" s="5">
        <v>7</v>
      </c>
      <c r="N16" s="6">
        <v>700</v>
      </c>
      <c r="O16" s="13">
        <f t="shared" si="1"/>
        <v>6.9999999999999999E-6</v>
      </c>
      <c r="P16" s="14">
        <v>0.6</v>
      </c>
    </row>
    <row r="17" spans="1:17" x14ac:dyDescent="0.3">
      <c r="A17" s="5">
        <v>7</v>
      </c>
      <c r="B17" s="6">
        <v>799</v>
      </c>
      <c r="C17" s="13">
        <f t="shared" si="2"/>
        <v>7.9899999999999989E-7</v>
      </c>
      <c r="D17" s="14">
        <v>2.5000000000000001E-2</v>
      </c>
      <c r="G17" s="5">
        <v>7</v>
      </c>
      <c r="H17" s="6">
        <v>799</v>
      </c>
      <c r="I17" s="13">
        <f t="shared" si="0"/>
        <v>7.9899999999999989E-7</v>
      </c>
      <c r="J17" s="16">
        <v>0.7</v>
      </c>
      <c r="K17" s="1"/>
      <c r="M17" s="5">
        <v>7</v>
      </c>
      <c r="N17" s="6">
        <v>799</v>
      </c>
      <c r="O17" s="13">
        <f t="shared" si="1"/>
        <v>7.9899999999999997E-6</v>
      </c>
      <c r="P17" s="14">
        <v>0.6</v>
      </c>
    </row>
    <row r="18" spans="1:17" x14ac:dyDescent="0.3">
      <c r="A18" s="5">
        <v>8</v>
      </c>
      <c r="B18" s="6">
        <v>800</v>
      </c>
      <c r="C18" s="13">
        <f t="shared" si="2"/>
        <v>7.9999999999999986E-7</v>
      </c>
      <c r="D18" s="14">
        <v>2.5000000000000001E-2</v>
      </c>
      <c r="G18" s="5">
        <v>8</v>
      </c>
      <c r="H18" s="6">
        <v>800</v>
      </c>
      <c r="I18" s="13">
        <f t="shared" si="0"/>
        <v>7.9999999999999986E-7</v>
      </c>
      <c r="J18" s="16">
        <v>0.8</v>
      </c>
      <c r="K18" s="1"/>
      <c r="M18" s="5">
        <v>8</v>
      </c>
      <c r="N18" s="6">
        <v>800</v>
      </c>
      <c r="O18" s="13">
        <f t="shared" si="1"/>
        <v>7.9999999999999996E-6</v>
      </c>
      <c r="P18" s="14">
        <v>0.4</v>
      </c>
    </row>
    <row r="19" spans="1:17" x14ac:dyDescent="0.3">
      <c r="A19" s="5">
        <v>8</v>
      </c>
      <c r="B19" s="6">
        <v>899</v>
      </c>
      <c r="C19" s="13">
        <f t="shared" si="2"/>
        <v>8.9899999999999988E-7</v>
      </c>
      <c r="D19" s="14">
        <v>2.5000000000000001E-2</v>
      </c>
      <c r="G19" s="5">
        <v>8</v>
      </c>
      <c r="H19" s="6">
        <v>899</v>
      </c>
      <c r="I19" s="13">
        <f t="shared" si="0"/>
        <v>8.9899999999999988E-7</v>
      </c>
      <c r="J19" s="16">
        <v>0.8</v>
      </c>
      <c r="K19" s="1"/>
      <c r="M19" s="5">
        <v>8</v>
      </c>
      <c r="N19" s="6">
        <v>899</v>
      </c>
      <c r="O19" s="13">
        <f t="shared" si="1"/>
        <v>8.9900000000000003E-6</v>
      </c>
      <c r="P19" s="14">
        <v>0.4</v>
      </c>
    </row>
    <row r="20" spans="1:17" x14ac:dyDescent="0.3">
      <c r="A20" s="5">
        <v>9</v>
      </c>
      <c r="B20" s="6">
        <v>900</v>
      </c>
      <c r="C20" s="13">
        <f t="shared" si="2"/>
        <v>8.9999999999999985E-7</v>
      </c>
      <c r="D20" s="14">
        <v>0.21</v>
      </c>
      <c r="G20" s="5">
        <v>9</v>
      </c>
      <c r="H20" s="6">
        <v>900</v>
      </c>
      <c r="I20" s="13">
        <f t="shared" si="0"/>
        <v>8.9999999999999985E-7</v>
      </c>
      <c r="J20" s="16">
        <v>0.9</v>
      </c>
      <c r="K20" s="1"/>
      <c r="M20" s="5">
        <v>9</v>
      </c>
      <c r="N20" s="6">
        <v>900</v>
      </c>
      <c r="O20" s="13">
        <f t="shared" si="1"/>
        <v>9.0000000000000002E-6</v>
      </c>
      <c r="P20" s="14">
        <v>0.2</v>
      </c>
    </row>
    <row r="21" spans="1:17" x14ac:dyDescent="0.3">
      <c r="A21" s="5">
        <v>9</v>
      </c>
      <c r="B21" s="6">
        <v>999</v>
      </c>
      <c r="C21" s="13">
        <f t="shared" si="2"/>
        <v>9.9899999999999988E-7</v>
      </c>
      <c r="D21" s="14">
        <v>0.21</v>
      </c>
      <c r="G21" s="5">
        <v>9</v>
      </c>
      <c r="H21" s="6">
        <v>999</v>
      </c>
      <c r="I21" s="13">
        <f t="shared" si="0"/>
        <v>9.9899999999999988E-7</v>
      </c>
      <c r="J21" s="16">
        <v>0.9</v>
      </c>
      <c r="K21" s="1"/>
      <c r="M21" s="5">
        <v>9</v>
      </c>
      <c r="N21" s="6">
        <v>999</v>
      </c>
      <c r="O21" s="13">
        <f t="shared" si="1"/>
        <v>9.9900000000000009E-6</v>
      </c>
      <c r="P21" s="14">
        <v>0.2</v>
      </c>
    </row>
    <row r="22" spans="1:17" ht="15" thickBot="1" x14ac:dyDescent="0.35">
      <c r="A22" s="7">
        <v>10</v>
      </c>
      <c r="B22" s="8">
        <v>1000</v>
      </c>
      <c r="C22" s="12">
        <f t="shared" si="2"/>
        <v>9.9999999999999995E-7</v>
      </c>
      <c r="D22" s="15">
        <v>0.5</v>
      </c>
      <c r="G22" s="7">
        <v>10</v>
      </c>
      <c r="H22" s="8">
        <v>1000</v>
      </c>
      <c r="I22" s="12">
        <f t="shared" si="0"/>
        <v>9.9999999999999995E-7</v>
      </c>
      <c r="J22" s="15">
        <v>0</v>
      </c>
      <c r="K22" s="1"/>
      <c r="M22" s="7">
        <v>10</v>
      </c>
      <c r="N22" s="8">
        <v>1000</v>
      </c>
      <c r="O22" s="12">
        <f t="shared" si="1"/>
        <v>1.0000000000000001E-5</v>
      </c>
      <c r="P22" s="15">
        <v>0</v>
      </c>
    </row>
    <row r="23" spans="1:17" ht="15" thickBot="1" x14ac:dyDescent="0.35"/>
    <row r="24" spans="1:17" x14ac:dyDescent="0.3">
      <c r="A24" s="2" t="s">
        <v>6</v>
      </c>
      <c r="B24" s="3" t="s">
        <v>7</v>
      </c>
      <c r="C24" s="4" t="s">
        <v>8</v>
      </c>
      <c r="G24" s="2" t="s">
        <v>6</v>
      </c>
      <c r="H24" s="3" t="s">
        <v>7</v>
      </c>
      <c r="I24" s="4" t="s">
        <v>8</v>
      </c>
      <c r="M24" s="2" t="s">
        <v>6</v>
      </c>
      <c r="N24" s="3" t="s">
        <v>7</v>
      </c>
      <c r="O24" s="4" t="s">
        <v>8</v>
      </c>
    </row>
    <row r="25" spans="1:17" ht="15" thickBot="1" x14ac:dyDescent="0.35">
      <c r="A25" s="7">
        <f>1/B25</f>
        <v>9.9999999999999995E-7</v>
      </c>
      <c r="B25" s="17">
        <f>1000000</f>
        <v>1000000</v>
      </c>
      <c r="C25" s="11">
        <f>A25/1000</f>
        <v>9.9999999999999986E-10</v>
      </c>
      <c r="G25" s="7">
        <f>1/H25</f>
        <v>9.9999999999999995E-7</v>
      </c>
      <c r="H25" s="17">
        <f>1000000</f>
        <v>1000000</v>
      </c>
      <c r="I25" s="11">
        <f>G25/1000</f>
        <v>9.9999999999999986E-10</v>
      </c>
      <c r="M25" s="7">
        <f>1/N25</f>
        <v>1.0000000000000001E-5</v>
      </c>
      <c r="N25" s="17">
        <f>100000</f>
        <v>100000</v>
      </c>
      <c r="O25" s="11">
        <f>M25/1000</f>
        <v>1E-8</v>
      </c>
    </row>
    <row r="28" spans="1:17" ht="15" thickBot="1" x14ac:dyDescent="0.35"/>
    <row r="29" spans="1:17" x14ac:dyDescent="0.3">
      <c r="A29" s="2" t="s">
        <v>3</v>
      </c>
      <c r="B29" s="3" t="s">
        <v>0</v>
      </c>
      <c r="C29" s="3" t="s">
        <v>1</v>
      </c>
      <c r="D29" s="4" t="s">
        <v>2</v>
      </c>
      <c r="G29" s="2" t="s">
        <v>3</v>
      </c>
      <c r="H29" s="3" t="s">
        <v>0</v>
      </c>
      <c r="I29" s="3" t="s">
        <v>1</v>
      </c>
      <c r="J29" s="4" t="s">
        <v>4</v>
      </c>
      <c r="M29" s="2" t="s">
        <v>3</v>
      </c>
      <c r="N29" s="3" t="s">
        <v>0</v>
      </c>
      <c r="O29" s="3" t="s">
        <v>1</v>
      </c>
      <c r="P29" s="4" t="s">
        <v>5</v>
      </c>
    </row>
    <row r="30" spans="1:17" x14ac:dyDescent="0.3">
      <c r="A30" s="5">
        <v>0</v>
      </c>
      <c r="B30" s="6">
        <v>0</v>
      </c>
      <c r="C30" s="33">
        <f>$B30*$C$73</f>
        <v>0</v>
      </c>
      <c r="D30" s="14">
        <f t="shared" ref="D30:D70" si="3">(E30/2)*$B$76 + 0.5*$B$76</f>
        <v>1E-3</v>
      </c>
      <c r="E30" s="25">
        <v>0</v>
      </c>
      <c r="G30" s="5">
        <v>0</v>
      </c>
      <c r="H30" s="6">
        <v>0</v>
      </c>
      <c r="I30" s="13">
        <f t="shared" ref="I30:I70" si="4">H30*$I$73</f>
        <v>0</v>
      </c>
      <c r="J30" s="14">
        <f>K30*$H$76</f>
        <v>0</v>
      </c>
      <c r="K30" s="22">
        <v>0</v>
      </c>
      <c r="M30" s="5">
        <v>0</v>
      </c>
      <c r="N30" s="6">
        <v>0</v>
      </c>
      <c r="O30" s="13">
        <f t="shared" ref="O30:O70" si="5">N30*$O$73</f>
        <v>0</v>
      </c>
      <c r="P30" s="14">
        <f>Q30*$N$76</f>
        <v>0</v>
      </c>
      <c r="Q30" s="31">
        <v>0</v>
      </c>
    </row>
    <row r="31" spans="1:17" x14ac:dyDescent="0.3">
      <c r="A31" s="5">
        <v>0</v>
      </c>
      <c r="B31" s="1">
        <v>99</v>
      </c>
      <c r="C31" s="33">
        <f>$B31*$C$73</f>
        <v>1.9799999999999999E-8</v>
      </c>
      <c r="D31" s="14">
        <f t="shared" si="3"/>
        <v>1E-3</v>
      </c>
      <c r="E31" s="26">
        <v>0</v>
      </c>
      <c r="G31" s="5">
        <v>0</v>
      </c>
      <c r="H31" s="1">
        <v>99</v>
      </c>
      <c r="I31" s="13">
        <f t="shared" si="4"/>
        <v>1.9799999999999997E-7</v>
      </c>
      <c r="J31" s="14">
        <f t="shared" ref="J31:J70" si="6">K31*$H$76</f>
        <v>0</v>
      </c>
      <c r="K31" s="23">
        <v>0</v>
      </c>
      <c r="M31" s="5">
        <v>0</v>
      </c>
      <c r="N31" s="1">
        <v>99</v>
      </c>
      <c r="O31" s="13">
        <f t="shared" si="5"/>
        <v>4.9499999999999993E-8</v>
      </c>
      <c r="P31" s="14">
        <f t="shared" ref="P31:P70" si="7">Q31*$N$76</f>
        <v>0</v>
      </c>
      <c r="Q31" s="31">
        <v>0</v>
      </c>
    </row>
    <row r="32" spans="1:17" x14ac:dyDescent="0.3">
      <c r="A32" s="5">
        <v>1</v>
      </c>
      <c r="B32" s="1">
        <v>100</v>
      </c>
      <c r="C32" s="13">
        <f t="shared" ref="C32:C70" si="8">$B32*$C$73</f>
        <v>1.9999999999999997E-8</v>
      </c>
      <c r="D32" s="14">
        <f t="shared" si="3"/>
        <v>1.3247000000000001E-3</v>
      </c>
      <c r="E32" s="26">
        <v>0.32469999999999999</v>
      </c>
      <c r="G32" s="5">
        <v>1</v>
      </c>
      <c r="H32" s="1">
        <v>100</v>
      </c>
      <c r="I32" s="13">
        <f t="shared" si="4"/>
        <v>1.9999999999999996E-7</v>
      </c>
      <c r="J32" s="14">
        <f t="shared" si="6"/>
        <v>1E-3</v>
      </c>
      <c r="K32" s="23">
        <v>0.05</v>
      </c>
      <c r="M32" s="5">
        <v>1</v>
      </c>
      <c r="N32" s="1">
        <v>100</v>
      </c>
      <c r="O32" s="13">
        <f t="shared" si="5"/>
        <v>4.9999999999999991E-8</v>
      </c>
      <c r="P32" s="14">
        <f t="shared" si="7"/>
        <v>2E-3</v>
      </c>
      <c r="Q32" s="31">
        <v>0.1</v>
      </c>
    </row>
    <row r="33" spans="1:17" x14ac:dyDescent="0.3">
      <c r="A33" s="5">
        <v>1</v>
      </c>
      <c r="B33" s="1">
        <v>199</v>
      </c>
      <c r="C33" s="13">
        <f t="shared" si="8"/>
        <v>3.9799999999999999E-8</v>
      </c>
      <c r="D33" s="14">
        <f t="shared" si="3"/>
        <v>1.3247000000000001E-3</v>
      </c>
      <c r="E33" s="26">
        <v>0.32469999999999999</v>
      </c>
      <c r="G33" s="5">
        <v>1</v>
      </c>
      <c r="H33" s="1">
        <v>199</v>
      </c>
      <c r="I33" s="13">
        <f t="shared" si="4"/>
        <v>3.9799999999999994E-7</v>
      </c>
      <c r="J33" s="14">
        <f t="shared" si="6"/>
        <v>1E-3</v>
      </c>
      <c r="K33" s="23">
        <v>0.05</v>
      </c>
      <c r="M33" s="5">
        <v>1</v>
      </c>
      <c r="N33" s="1">
        <v>199</v>
      </c>
      <c r="O33" s="13">
        <f t="shared" si="5"/>
        <v>9.9499999999999984E-8</v>
      </c>
      <c r="P33" s="14">
        <f t="shared" si="7"/>
        <v>2E-3</v>
      </c>
      <c r="Q33" s="31">
        <v>0.1</v>
      </c>
    </row>
    <row r="34" spans="1:17" x14ac:dyDescent="0.3">
      <c r="A34" s="5">
        <v>2</v>
      </c>
      <c r="B34" s="1">
        <v>200</v>
      </c>
      <c r="C34" s="13">
        <f t="shared" si="8"/>
        <v>3.9999999999999994E-8</v>
      </c>
      <c r="D34" s="14">
        <f t="shared" si="3"/>
        <v>1.6142130000000002E-3</v>
      </c>
      <c r="E34" s="26">
        <v>0.61421300000000001</v>
      </c>
      <c r="G34" s="5">
        <v>2</v>
      </c>
      <c r="H34" s="1">
        <v>200</v>
      </c>
      <c r="I34" s="13">
        <f t="shared" si="4"/>
        <v>3.9999999999999993E-7</v>
      </c>
      <c r="J34" s="14">
        <f t="shared" si="6"/>
        <v>2E-3</v>
      </c>
      <c r="K34" s="23">
        <v>0.1</v>
      </c>
      <c r="M34" s="5">
        <v>2</v>
      </c>
      <c r="N34" s="1">
        <v>200</v>
      </c>
      <c r="O34" s="13">
        <f t="shared" si="5"/>
        <v>9.9999999999999982E-8</v>
      </c>
      <c r="P34" s="14">
        <f t="shared" si="7"/>
        <v>4.0000000000000001E-3</v>
      </c>
      <c r="Q34" s="31">
        <v>0.2</v>
      </c>
    </row>
    <row r="35" spans="1:17" x14ac:dyDescent="0.3">
      <c r="A35" s="5">
        <v>2</v>
      </c>
      <c r="B35" s="1">
        <v>299</v>
      </c>
      <c r="C35" s="13">
        <f t="shared" si="8"/>
        <v>5.9799999999999993E-8</v>
      </c>
      <c r="D35" s="14">
        <f t="shared" si="3"/>
        <v>1.6142130000000002E-3</v>
      </c>
      <c r="E35" s="26">
        <v>0.61421300000000001</v>
      </c>
      <c r="G35" s="5">
        <v>2</v>
      </c>
      <c r="H35" s="1">
        <v>299</v>
      </c>
      <c r="I35" s="13">
        <f t="shared" si="4"/>
        <v>5.9799999999999993E-7</v>
      </c>
      <c r="J35" s="14">
        <f t="shared" si="6"/>
        <v>2E-3</v>
      </c>
      <c r="K35" s="23">
        <v>0.1</v>
      </c>
      <c r="M35" s="5">
        <v>2</v>
      </c>
      <c r="N35" s="1">
        <v>299</v>
      </c>
      <c r="O35" s="13">
        <f t="shared" si="5"/>
        <v>1.4949999999999998E-7</v>
      </c>
      <c r="P35" s="14">
        <f t="shared" si="7"/>
        <v>4.0000000000000001E-3</v>
      </c>
      <c r="Q35" s="31">
        <v>0.2</v>
      </c>
    </row>
    <row r="36" spans="1:17" x14ac:dyDescent="0.3">
      <c r="A36" s="5">
        <v>3</v>
      </c>
      <c r="B36" s="1">
        <v>300</v>
      </c>
      <c r="C36" s="13">
        <f t="shared" si="8"/>
        <v>5.9999999999999995E-8</v>
      </c>
      <c r="D36" s="14">
        <f t="shared" si="3"/>
        <v>1.837167E-3</v>
      </c>
      <c r="E36" s="26">
        <v>0.83716699999999999</v>
      </c>
      <c r="G36" s="5">
        <v>3</v>
      </c>
      <c r="H36" s="1">
        <v>300</v>
      </c>
      <c r="I36" s="13">
        <f t="shared" si="4"/>
        <v>5.9999999999999987E-7</v>
      </c>
      <c r="J36" s="14">
        <f t="shared" si="6"/>
        <v>3.0000000000000001E-3</v>
      </c>
      <c r="K36" s="23">
        <v>0.15</v>
      </c>
      <c r="M36" s="5">
        <v>3</v>
      </c>
      <c r="N36" s="1">
        <v>300</v>
      </c>
      <c r="O36" s="13">
        <f t="shared" si="5"/>
        <v>1.4999999999999997E-7</v>
      </c>
      <c r="P36" s="14">
        <f t="shared" si="7"/>
        <v>6.0000000000000001E-3</v>
      </c>
      <c r="Q36" s="31">
        <v>0.3</v>
      </c>
    </row>
    <row r="37" spans="1:17" x14ac:dyDescent="0.3">
      <c r="A37" s="5">
        <v>3</v>
      </c>
      <c r="B37" s="1">
        <v>399</v>
      </c>
      <c r="C37" s="13">
        <f t="shared" si="8"/>
        <v>7.9799999999999987E-8</v>
      </c>
      <c r="D37" s="14">
        <f t="shared" si="3"/>
        <v>1.837167E-3</v>
      </c>
      <c r="E37" s="26">
        <v>0.83716699999999999</v>
      </c>
      <c r="G37" s="5">
        <v>3</v>
      </c>
      <c r="H37" s="1">
        <v>399</v>
      </c>
      <c r="I37" s="13">
        <f t="shared" si="4"/>
        <v>7.9799999999999992E-7</v>
      </c>
      <c r="J37" s="14">
        <f t="shared" si="6"/>
        <v>3.0000000000000001E-3</v>
      </c>
      <c r="K37" s="23">
        <v>0.15</v>
      </c>
      <c r="M37" s="5">
        <v>3</v>
      </c>
      <c r="N37" s="1">
        <v>399</v>
      </c>
      <c r="O37" s="13">
        <f t="shared" si="5"/>
        <v>1.9949999999999998E-7</v>
      </c>
      <c r="P37" s="14">
        <f t="shared" si="7"/>
        <v>6.0000000000000001E-3</v>
      </c>
      <c r="Q37" s="31">
        <v>0.3</v>
      </c>
    </row>
    <row r="38" spans="1:17" x14ac:dyDescent="0.3">
      <c r="A38" s="5">
        <v>4</v>
      </c>
      <c r="B38" s="1">
        <v>400</v>
      </c>
      <c r="C38" s="13">
        <f t="shared" si="8"/>
        <v>7.9999999999999988E-8</v>
      </c>
      <c r="D38" s="14">
        <f t="shared" si="3"/>
        <v>1.9694000000000001E-3</v>
      </c>
      <c r="E38" s="26">
        <v>0.96940000000000004</v>
      </c>
      <c r="G38" s="5">
        <v>4</v>
      </c>
      <c r="H38" s="1">
        <v>400</v>
      </c>
      <c r="I38" s="13">
        <f t="shared" si="4"/>
        <v>7.9999999999999986E-7</v>
      </c>
      <c r="J38" s="14">
        <f t="shared" si="6"/>
        <v>4.0000000000000001E-3</v>
      </c>
      <c r="K38" s="23">
        <v>0.2</v>
      </c>
      <c r="M38" s="5">
        <v>4</v>
      </c>
      <c r="N38" s="1">
        <v>400</v>
      </c>
      <c r="O38" s="13">
        <f t="shared" si="5"/>
        <v>1.9999999999999996E-7</v>
      </c>
      <c r="P38" s="14">
        <f t="shared" si="7"/>
        <v>8.0000000000000002E-3</v>
      </c>
      <c r="Q38" s="31">
        <v>0.4</v>
      </c>
    </row>
    <row r="39" spans="1:17" x14ac:dyDescent="0.3">
      <c r="A39" s="5">
        <v>4</v>
      </c>
      <c r="B39" s="1">
        <v>499</v>
      </c>
      <c r="C39" s="13">
        <f t="shared" si="8"/>
        <v>9.9799999999999994E-8</v>
      </c>
      <c r="D39" s="14">
        <f t="shared" si="3"/>
        <v>1.9694000000000001E-3</v>
      </c>
      <c r="E39" s="26">
        <v>0.96940000000000004</v>
      </c>
      <c r="G39" s="5">
        <v>4</v>
      </c>
      <c r="H39" s="1">
        <v>499</v>
      </c>
      <c r="I39" s="13">
        <f t="shared" si="4"/>
        <v>9.979999999999998E-7</v>
      </c>
      <c r="J39" s="14">
        <f t="shared" si="6"/>
        <v>4.0000000000000001E-3</v>
      </c>
      <c r="K39" s="23">
        <v>0.2</v>
      </c>
      <c r="M39" s="5">
        <v>4</v>
      </c>
      <c r="N39" s="1">
        <v>499</v>
      </c>
      <c r="O39" s="13">
        <f t="shared" si="5"/>
        <v>2.4949999999999995E-7</v>
      </c>
      <c r="P39" s="14">
        <f t="shared" si="7"/>
        <v>8.0000000000000002E-3</v>
      </c>
      <c r="Q39" s="31">
        <v>0.4</v>
      </c>
    </row>
    <row r="40" spans="1:17" x14ac:dyDescent="0.3">
      <c r="A40" s="5">
        <v>5</v>
      </c>
      <c r="B40" s="1">
        <v>500</v>
      </c>
      <c r="C40" s="13">
        <f t="shared" si="8"/>
        <v>9.9999999999999995E-8</v>
      </c>
      <c r="D40" s="14">
        <f t="shared" si="3"/>
        <v>1.9965850000000004E-3</v>
      </c>
      <c r="E40" s="26">
        <v>0.99658500000000005</v>
      </c>
      <c r="G40" s="5">
        <v>5</v>
      </c>
      <c r="H40" s="1">
        <v>500</v>
      </c>
      <c r="I40" s="13">
        <f t="shared" si="4"/>
        <v>9.9999999999999995E-7</v>
      </c>
      <c r="J40" s="14">
        <f t="shared" si="6"/>
        <v>5.0000000000000001E-3</v>
      </c>
      <c r="K40" s="23">
        <v>0.25</v>
      </c>
      <c r="M40" s="5">
        <v>5</v>
      </c>
      <c r="N40" s="1">
        <v>500</v>
      </c>
      <c r="O40" s="13">
        <f t="shared" si="5"/>
        <v>2.4999999999999999E-7</v>
      </c>
      <c r="P40" s="14">
        <f t="shared" si="7"/>
        <v>0.01</v>
      </c>
      <c r="Q40" s="31">
        <v>0.5</v>
      </c>
    </row>
    <row r="41" spans="1:17" x14ac:dyDescent="0.3">
      <c r="A41" s="5">
        <v>5</v>
      </c>
      <c r="B41" s="1">
        <v>599</v>
      </c>
      <c r="C41" s="13">
        <f t="shared" si="8"/>
        <v>1.198E-7</v>
      </c>
      <c r="D41" s="14">
        <f t="shared" si="3"/>
        <v>1.9965850000000004E-3</v>
      </c>
      <c r="E41" s="26">
        <v>0.99658500000000005</v>
      </c>
      <c r="G41" s="5">
        <v>5</v>
      </c>
      <c r="H41" s="1">
        <v>599</v>
      </c>
      <c r="I41" s="13">
        <f t="shared" si="4"/>
        <v>1.1979999999999998E-6</v>
      </c>
      <c r="J41" s="14">
        <f t="shared" si="6"/>
        <v>5.0000000000000001E-3</v>
      </c>
      <c r="K41" s="23">
        <v>0.25</v>
      </c>
      <c r="M41" s="5">
        <v>5</v>
      </c>
      <c r="N41" s="1">
        <v>599</v>
      </c>
      <c r="O41" s="13">
        <f t="shared" si="5"/>
        <v>2.9949999999999995E-7</v>
      </c>
      <c r="P41" s="14">
        <f t="shared" si="7"/>
        <v>0.01</v>
      </c>
      <c r="Q41" s="31">
        <v>0.5</v>
      </c>
    </row>
    <row r="42" spans="1:17" x14ac:dyDescent="0.3">
      <c r="A42" s="5">
        <v>6</v>
      </c>
      <c r="B42" s="1">
        <v>600</v>
      </c>
      <c r="C42" s="13">
        <f t="shared" si="8"/>
        <v>1.1999999999999999E-7</v>
      </c>
      <c r="D42" s="14">
        <f t="shared" si="3"/>
        <v>1.915773E-3</v>
      </c>
      <c r="E42" s="26">
        <v>0.91577299999999995</v>
      </c>
      <c r="G42" s="5">
        <v>6</v>
      </c>
      <c r="H42" s="1">
        <v>600</v>
      </c>
      <c r="I42" s="13">
        <f t="shared" si="4"/>
        <v>1.1999999999999997E-6</v>
      </c>
      <c r="J42" s="14">
        <f t="shared" si="6"/>
        <v>6.0000000000000001E-3</v>
      </c>
      <c r="K42" s="23">
        <v>0.3</v>
      </c>
      <c r="M42" s="5">
        <v>6</v>
      </c>
      <c r="N42" s="1">
        <v>600</v>
      </c>
      <c r="O42" s="13">
        <f t="shared" si="5"/>
        <v>2.9999999999999993E-7</v>
      </c>
      <c r="P42" s="14">
        <f t="shared" si="7"/>
        <v>1.2E-2</v>
      </c>
      <c r="Q42" s="31">
        <v>0.6</v>
      </c>
    </row>
    <row r="43" spans="1:17" x14ac:dyDescent="0.3">
      <c r="A43" s="5">
        <v>6</v>
      </c>
      <c r="B43" s="1">
        <v>699</v>
      </c>
      <c r="C43" s="13">
        <f t="shared" si="8"/>
        <v>1.3979999999999999E-7</v>
      </c>
      <c r="D43" s="14">
        <f t="shared" si="3"/>
        <v>1.915773E-3</v>
      </c>
      <c r="E43" s="26">
        <v>0.91577299999999995</v>
      </c>
      <c r="G43" s="5">
        <v>6</v>
      </c>
      <c r="H43" s="1">
        <v>699</v>
      </c>
      <c r="I43" s="13">
        <f t="shared" si="4"/>
        <v>1.3979999999999998E-6</v>
      </c>
      <c r="J43" s="14">
        <f t="shared" si="6"/>
        <v>6.0000000000000001E-3</v>
      </c>
      <c r="K43" s="23">
        <v>0.3</v>
      </c>
      <c r="M43" s="5">
        <v>6</v>
      </c>
      <c r="N43" s="1">
        <v>699</v>
      </c>
      <c r="O43" s="13">
        <f t="shared" si="5"/>
        <v>3.4949999999999995E-7</v>
      </c>
      <c r="P43" s="14">
        <f t="shared" si="7"/>
        <v>1.2E-2</v>
      </c>
      <c r="Q43" s="31">
        <v>0.6</v>
      </c>
    </row>
    <row r="44" spans="1:17" x14ac:dyDescent="0.3">
      <c r="A44" s="5">
        <v>7</v>
      </c>
      <c r="B44" s="1">
        <v>700</v>
      </c>
      <c r="C44" s="13">
        <f t="shared" si="8"/>
        <v>1.3999999999999998E-7</v>
      </c>
      <c r="D44" s="14">
        <f t="shared" si="3"/>
        <v>1.7357240000000001E-3</v>
      </c>
      <c r="E44" s="26">
        <v>0.73572400000000004</v>
      </c>
      <c r="G44" s="5">
        <v>7</v>
      </c>
      <c r="H44" s="1">
        <v>700</v>
      </c>
      <c r="I44" s="13">
        <f t="shared" si="4"/>
        <v>1.3999999999999997E-6</v>
      </c>
      <c r="J44" s="14">
        <f t="shared" si="6"/>
        <v>6.9999999999999993E-3</v>
      </c>
      <c r="K44" s="23">
        <v>0.35</v>
      </c>
      <c r="M44" s="5">
        <v>7</v>
      </c>
      <c r="N44" s="1">
        <v>700</v>
      </c>
      <c r="O44" s="13">
        <f t="shared" si="5"/>
        <v>3.4999999999999993E-7</v>
      </c>
      <c r="P44" s="14">
        <f t="shared" si="7"/>
        <v>1.3999999999999999E-2</v>
      </c>
      <c r="Q44" s="31">
        <v>0.7</v>
      </c>
    </row>
    <row r="45" spans="1:17" x14ac:dyDescent="0.3">
      <c r="A45" s="5">
        <v>7</v>
      </c>
      <c r="B45" s="1">
        <v>799</v>
      </c>
      <c r="C45" s="13">
        <f t="shared" si="8"/>
        <v>1.5979999999999999E-7</v>
      </c>
      <c r="D45" s="14">
        <f t="shared" si="3"/>
        <v>1.7357240000000001E-3</v>
      </c>
      <c r="E45" s="26">
        <v>0.73572400000000004</v>
      </c>
      <c r="G45" s="5">
        <v>7</v>
      </c>
      <c r="H45" s="1">
        <v>799</v>
      </c>
      <c r="I45" s="13">
        <f t="shared" si="4"/>
        <v>1.5979999999999998E-6</v>
      </c>
      <c r="J45" s="14">
        <f t="shared" si="6"/>
        <v>6.9999999999999993E-3</v>
      </c>
      <c r="K45" s="23">
        <v>0.35</v>
      </c>
      <c r="M45" s="5">
        <v>7</v>
      </c>
      <c r="N45" s="1">
        <v>799</v>
      </c>
      <c r="O45" s="13">
        <f t="shared" si="5"/>
        <v>3.9949999999999994E-7</v>
      </c>
      <c r="P45" s="14">
        <f t="shared" si="7"/>
        <v>1.3999999999999999E-2</v>
      </c>
      <c r="Q45" s="31">
        <v>0.7</v>
      </c>
    </row>
    <row r="46" spans="1:17" x14ac:dyDescent="0.3">
      <c r="A46" s="5">
        <v>8</v>
      </c>
      <c r="B46" s="1">
        <v>800</v>
      </c>
      <c r="C46" s="13">
        <f t="shared" si="8"/>
        <v>1.5999999999999998E-7</v>
      </c>
      <c r="D46" s="14">
        <f t="shared" si="3"/>
        <v>1.475947E-3</v>
      </c>
      <c r="E46" s="26">
        <v>0.47594700000000001</v>
      </c>
      <c r="G46" s="5">
        <v>8</v>
      </c>
      <c r="H46" s="1">
        <v>800</v>
      </c>
      <c r="I46" s="13">
        <f t="shared" si="4"/>
        <v>1.5999999999999997E-6</v>
      </c>
      <c r="J46" s="14">
        <f t="shared" si="6"/>
        <v>8.0000000000000002E-3</v>
      </c>
      <c r="K46" s="23">
        <v>0.4</v>
      </c>
      <c r="M46" s="5">
        <v>8</v>
      </c>
      <c r="N46" s="1">
        <v>800</v>
      </c>
      <c r="O46" s="13">
        <f t="shared" si="5"/>
        <v>3.9999999999999993E-7</v>
      </c>
      <c r="P46" s="14">
        <f t="shared" si="7"/>
        <v>1.6E-2</v>
      </c>
      <c r="Q46" s="31">
        <v>0.8</v>
      </c>
    </row>
    <row r="47" spans="1:17" x14ac:dyDescent="0.3">
      <c r="A47" s="5">
        <v>8</v>
      </c>
      <c r="B47" s="1">
        <v>899</v>
      </c>
      <c r="C47" s="13">
        <f t="shared" si="8"/>
        <v>1.7979999999999998E-7</v>
      </c>
      <c r="D47" s="14">
        <f t="shared" si="3"/>
        <v>1.475947E-3</v>
      </c>
      <c r="E47" s="26">
        <v>0.47594700000000001</v>
      </c>
      <c r="G47" s="5">
        <v>8</v>
      </c>
      <c r="H47" s="1">
        <v>899</v>
      </c>
      <c r="I47" s="13">
        <f t="shared" si="4"/>
        <v>1.7979999999999998E-6</v>
      </c>
      <c r="J47" s="14">
        <f t="shared" si="6"/>
        <v>8.0000000000000002E-3</v>
      </c>
      <c r="K47" s="23">
        <v>0.4</v>
      </c>
      <c r="M47" s="5">
        <v>8</v>
      </c>
      <c r="N47" s="1">
        <v>899</v>
      </c>
      <c r="O47" s="13">
        <f t="shared" si="5"/>
        <v>4.4949999999999994E-7</v>
      </c>
      <c r="P47" s="14">
        <f t="shared" si="7"/>
        <v>1.6E-2</v>
      </c>
      <c r="Q47" s="31">
        <v>0.8</v>
      </c>
    </row>
    <row r="48" spans="1:17" x14ac:dyDescent="0.3">
      <c r="A48" s="5">
        <v>9</v>
      </c>
      <c r="B48" s="1">
        <v>900</v>
      </c>
      <c r="C48" s="13">
        <f t="shared" si="8"/>
        <v>1.7999999999999997E-7</v>
      </c>
      <c r="D48" s="14">
        <f t="shared" si="3"/>
        <v>1.164595E-3</v>
      </c>
      <c r="E48" s="26">
        <v>0.16459499999999999</v>
      </c>
      <c r="G48" s="5">
        <v>9</v>
      </c>
      <c r="H48" s="1">
        <v>900</v>
      </c>
      <c r="I48" s="13">
        <f t="shared" si="4"/>
        <v>1.7999999999999997E-6</v>
      </c>
      <c r="J48" s="14">
        <f t="shared" si="6"/>
        <v>9.0000000000000011E-3</v>
      </c>
      <c r="K48" s="23">
        <v>0.45</v>
      </c>
      <c r="M48" s="5">
        <v>9</v>
      </c>
      <c r="N48" s="1">
        <v>900</v>
      </c>
      <c r="O48" s="13">
        <f t="shared" si="5"/>
        <v>4.4999999999999993E-7</v>
      </c>
      <c r="P48" s="14">
        <f t="shared" si="7"/>
        <v>1.8000000000000002E-2</v>
      </c>
      <c r="Q48" s="31">
        <v>0.9</v>
      </c>
    </row>
    <row r="49" spans="1:22" x14ac:dyDescent="0.3">
      <c r="A49" s="5">
        <v>9</v>
      </c>
      <c r="B49" s="1">
        <v>999</v>
      </c>
      <c r="C49" s="13">
        <f t="shared" si="8"/>
        <v>1.9979999999999998E-7</v>
      </c>
      <c r="D49" s="14">
        <f t="shared" si="3"/>
        <v>1.164595E-3</v>
      </c>
      <c r="E49" s="26">
        <v>0.16459499999999999</v>
      </c>
      <c r="G49" s="5">
        <v>9</v>
      </c>
      <c r="H49" s="1">
        <v>999</v>
      </c>
      <c r="I49" s="13">
        <f t="shared" si="4"/>
        <v>1.9979999999999998E-6</v>
      </c>
      <c r="J49" s="14">
        <f t="shared" si="6"/>
        <v>9.0000000000000011E-3</v>
      </c>
      <c r="K49" s="23">
        <v>0.45</v>
      </c>
      <c r="M49" s="5">
        <v>9</v>
      </c>
      <c r="N49" s="1">
        <v>999</v>
      </c>
      <c r="O49" s="13">
        <f t="shared" si="5"/>
        <v>4.9949999999999994E-7</v>
      </c>
      <c r="P49" s="14">
        <f t="shared" si="7"/>
        <v>1.8000000000000002E-2</v>
      </c>
      <c r="Q49" s="31">
        <v>0.9</v>
      </c>
    </row>
    <row r="50" spans="1:22" x14ac:dyDescent="0.3">
      <c r="A50" s="5">
        <v>10</v>
      </c>
      <c r="B50" s="1">
        <v>1000</v>
      </c>
      <c r="C50" s="13">
        <f t="shared" si="8"/>
        <v>1.9999999999999999E-7</v>
      </c>
      <c r="D50" s="14">
        <f t="shared" si="3"/>
        <v>8.35405E-4</v>
      </c>
      <c r="E50" s="26">
        <v>-0.16459499999999999</v>
      </c>
      <c r="G50" s="5">
        <v>10</v>
      </c>
      <c r="H50" s="1">
        <v>1000</v>
      </c>
      <c r="I50" s="13">
        <f t="shared" si="4"/>
        <v>1.9999999999999999E-6</v>
      </c>
      <c r="J50" s="14">
        <f t="shared" si="6"/>
        <v>0.01</v>
      </c>
      <c r="K50" s="23">
        <v>0.5</v>
      </c>
      <c r="M50" s="5">
        <v>10</v>
      </c>
      <c r="N50" s="1">
        <v>1000</v>
      </c>
      <c r="O50" s="13">
        <f t="shared" si="5"/>
        <v>4.9999999999999998E-7</v>
      </c>
      <c r="P50" s="14">
        <f t="shared" si="7"/>
        <v>0.02</v>
      </c>
      <c r="Q50" s="31">
        <v>1</v>
      </c>
    </row>
    <row r="51" spans="1:22" x14ac:dyDescent="0.3">
      <c r="A51" s="5">
        <v>10</v>
      </c>
      <c r="B51" s="1">
        <v>1099</v>
      </c>
      <c r="C51" s="13">
        <f t="shared" si="8"/>
        <v>2.1979999999999997E-7</v>
      </c>
      <c r="D51" s="14">
        <f t="shared" si="3"/>
        <v>8.35405E-4</v>
      </c>
      <c r="E51" s="26">
        <v>-0.16459499999999999</v>
      </c>
      <c r="G51" s="5">
        <v>10</v>
      </c>
      <c r="H51" s="1">
        <v>1099</v>
      </c>
      <c r="I51" s="13">
        <f t="shared" si="4"/>
        <v>2.1979999999999995E-6</v>
      </c>
      <c r="J51" s="14">
        <f t="shared" si="6"/>
        <v>0.01</v>
      </c>
      <c r="K51" s="23">
        <v>0.5</v>
      </c>
      <c r="M51" s="5">
        <v>10</v>
      </c>
      <c r="N51" s="1">
        <v>1099</v>
      </c>
      <c r="O51" s="13">
        <f t="shared" si="5"/>
        <v>5.4949999999999988E-7</v>
      </c>
      <c r="P51" s="14">
        <f t="shared" si="7"/>
        <v>0.02</v>
      </c>
      <c r="Q51" s="31">
        <v>1</v>
      </c>
    </row>
    <row r="52" spans="1:22" x14ac:dyDescent="0.3">
      <c r="A52" s="5">
        <v>11</v>
      </c>
      <c r="B52" s="1">
        <v>1100</v>
      </c>
      <c r="C52" s="13">
        <f t="shared" si="8"/>
        <v>2.1999999999999998E-7</v>
      </c>
      <c r="D52" s="14">
        <f t="shared" si="3"/>
        <v>5.2405300000000002E-4</v>
      </c>
      <c r="E52" s="26">
        <v>-0.47594700000000001</v>
      </c>
      <c r="G52" s="5">
        <v>11</v>
      </c>
      <c r="H52" s="1">
        <v>1100</v>
      </c>
      <c r="I52" s="13">
        <f t="shared" si="4"/>
        <v>2.1999999999999997E-6</v>
      </c>
      <c r="J52" s="14">
        <f t="shared" si="6"/>
        <v>1.1000000000000001E-2</v>
      </c>
      <c r="K52" s="23">
        <v>0.55000000000000004</v>
      </c>
      <c r="M52" s="5">
        <v>11</v>
      </c>
      <c r="N52" s="1">
        <v>1100</v>
      </c>
      <c r="O52" s="13">
        <f t="shared" si="5"/>
        <v>5.4999999999999992E-7</v>
      </c>
      <c r="P52" s="14">
        <f t="shared" si="7"/>
        <v>1.8000000000000002E-2</v>
      </c>
      <c r="Q52" s="31">
        <v>0.9</v>
      </c>
    </row>
    <row r="53" spans="1:22" x14ac:dyDescent="0.3">
      <c r="A53" s="5">
        <v>11</v>
      </c>
      <c r="B53" s="1">
        <v>1199</v>
      </c>
      <c r="C53" s="13">
        <f t="shared" si="8"/>
        <v>2.3979999999999996E-7</v>
      </c>
      <c r="D53" s="14">
        <f t="shared" si="3"/>
        <v>5.2405300000000002E-4</v>
      </c>
      <c r="E53" s="26">
        <v>-0.47594700000000001</v>
      </c>
      <c r="G53" s="5">
        <v>11</v>
      </c>
      <c r="H53" s="1">
        <v>1199</v>
      </c>
      <c r="I53" s="13">
        <f t="shared" si="4"/>
        <v>2.3979999999999997E-6</v>
      </c>
      <c r="J53" s="14">
        <f t="shared" si="6"/>
        <v>1.1000000000000001E-2</v>
      </c>
      <c r="K53" s="23">
        <v>0.55000000000000004</v>
      </c>
      <c r="M53" s="5">
        <v>11</v>
      </c>
      <c r="N53" s="1">
        <v>1199</v>
      </c>
      <c r="O53" s="13">
        <f t="shared" si="5"/>
        <v>5.9949999999999994E-7</v>
      </c>
      <c r="P53" s="14">
        <f t="shared" si="7"/>
        <v>1.8000000000000002E-2</v>
      </c>
      <c r="Q53" s="31">
        <v>0.9</v>
      </c>
    </row>
    <row r="54" spans="1:22" x14ac:dyDescent="0.3">
      <c r="A54" s="5">
        <v>12</v>
      </c>
      <c r="B54" s="1">
        <v>1200</v>
      </c>
      <c r="C54" s="13">
        <f t="shared" si="8"/>
        <v>2.3999999999999998E-7</v>
      </c>
      <c r="D54" s="14">
        <f t="shared" si="3"/>
        <v>2.6427599999999992E-4</v>
      </c>
      <c r="E54" s="26">
        <v>-0.73572400000000004</v>
      </c>
      <c r="G54" s="5">
        <v>12</v>
      </c>
      <c r="H54" s="1">
        <v>1200</v>
      </c>
      <c r="I54" s="13">
        <f t="shared" si="4"/>
        <v>2.3999999999999995E-6</v>
      </c>
      <c r="J54" s="14">
        <f t="shared" si="6"/>
        <v>1.2E-2</v>
      </c>
      <c r="K54" s="23">
        <v>0.6</v>
      </c>
      <c r="M54" s="5">
        <v>12</v>
      </c>
      <c r="N54" s="1">
        <v>1200</v>
      </c>
      <c r="O54" s="13">
        <f t="shared" si="5"/>
        <v>5.9999999999999987E-7</v>
      </c>
      <c r="P54" s="14">
        <f t="shared" si="7"/>
        <v>1.6E-2</v>
      </c>
      <c r="Q54" s="31">
        <v>0.8</v>
      </c>
    </row>
    <row r="55" spans="1:22" x14ac:dyDescent="0.3">
      <c r="A55" s="5">
        <v>12</v>
      </c>
      <c r="B55" s="1">
        <v>1299</v>
      </c>
      <c r="C55" s="13">
        <f t="shared" si="8"/>
        <v>2.5979999999999998E-7</v>
      </c>
      <c r="D55" s="14">
        <f t="shared" si="3"/>
        <v>2.6427599999999992E-4</v>
      </c>
      <c r="E55" s="26">
        <v>-0.73572400000000004</v>
      </c>
      <c r="G55" s="5">
        <v>12</v>
      </c>
      <c r="H55" s="1">
        <v>1299</v>
      </c>
      <c r="I55" s="13">
        <f t="shared" si="4"/>
        <v>2.5979999999999995E-6</v>
      </c>
      <c r="J55" s="14">
        <f t="shared" si="6"/>
        <v>1.2E-2</v>
      </c>
      <c r="K55" s="23">
        <v>0.6</v>
      </c>
      <c r="M55" s="5">
        <v>12</v>
      </c>
      <c r="N55" s="1">
        <v>1299</v>
      </c>
      <c r="O55" s="13">
        <f t="shared" si="5"/>
        <v>6.4949999999999988E-7</v>
      </c>
      <c r="P55" s="14">
        <f t="shared" si="7"/>
        <v>1.6E-2</v>
      </c>
      <c r="Q55" s="31">
        <v>0.8</v>
      </c>
    </row>
    <row r="56" spans="1:22" x14ac:dyDescent="0.3">
      <c r="A56" s="5">
        <v>13</v>
      </c>
      <c r="B56" s="1">
        <v>1300</v>
      </c>
      <c r="C56" s="13">
        <f t="shared" si="8"/>
        <v>2.6E-7</v>
      </c>
      <c r="D56" s="14">
        <f t="shared" si="3"/>
        <v>8.4227000000000087E-5</v>
      </c>
      <c r="E56" s="26">
        <v>-0.91577299999999995</v>
      </c>
      <c r="G56" s="5">
        <v>13</v>
      </c>
      <c r="H56" s="1">
        <v>1300</v>
      </c>
      <c r="I56" s="13">
        <f t="shared" si="4"/>
        <v>2.5999999999999997E-6</v>
      </c>
      <c r="J56" s="14">
        <f t="shared" si="6"/>
        <v>1.3000000000000001E-2</v>
      </c>
      <c r="K56" s="23">
        <v>0.65</v>
      </c>
      <c r="M56" s="5">
        <v>13</v>
      </c>
      <c r="N56" s="1">
        <v>1300</v>
      </c>
      <c r="O56" s="13">
        <f t="shared" si="5"/>
        <v>6.4999999999999992E-7</v>
      </c>
      <c r="P56" s="14">
        <f t="shared" si="7"/>
        <v>1.3999999999999999E-2</v>
      </c>
      <c r="Q56" s="31">
        <v>0.7</v>
      </c>
    </row>
    <row r="57" spans="1:22" x14ac:dyDescent="0.3">
      <c r="A57" s="5">
        <v>13</v>
      </c>
      <c r="B57" s="1">
        <v>1399</v>
      </c>
      <c r="C57" s="13">
        <f t="shared" si="8"/>
        <v>2.7979999999999995E-7</v>
      </c>
      <c r="D57" s="14">
        <f t="shared" si="3"/>
        <v>8.4227000000000087E-5</v>
      </c>
      <c r="E57" s="26">
        <v>-0.91577299999999995</v>
      </c>
      <c r="G57" s="5">
        <v>13</v>
      </c>
      <c r="H57" s="1">
        <v>1399</v>
      </c>
      <c r="I57" s="13">
        <f t="shared" si="4"/>
        <v>2.7979999999999997E-6</v>
      </c>
      <c r="J57" s="14">
        <f t="shared" si="6"/>
        <v>1.3000000000000001E-2</v>
      </c>
      <c r="K57" s="23">
        <v>0.65</v>
      </c>
      <c r="M57" s="5">
        <v>13</v>
      </c>
      <c r="N57" s="1">
        <v>1399</v>
      </c>
      <c r="O57" s="13">
        <f t="shared" si="5"/>
        <v>6.9949999999999993E-7</v>
      </c>
      <c r="P57" s="14">
        <f t="shared" si="7"/>
        <v>1.3999999999999999E-2</v>
      </c>
      <c r="Q57" s="31">
        <v>0.7</v>
      </c>
    </row>
    <row r="58" spans="1:22" x14ac:dyDescent="0.3">
      <c r="A58" s="5">
        <v>14</v>
      </c>
      <c r="B58" s="1">
        <v>1400</v>
      </c>
      <c r="C58" s="13">
        <f t="shared" si="8"/>
        <v>2.7999999999999997E-7</v>
      </c>
      <c r="D58" s="14">
        <f t="shared" si="3"/>
        <v>3.4149999999998851E-6</v>
      </c>
      <c r="E58" s="26">
        <v>-0.99658500000000005</v>
      </c>
      <c r="G58" s="5">
        <v>14</v>
      </c>
      <c r="H58" s="1">
        <v>1400</v>
      </c>
      <c r="I58" s="13">
        <f t="shared" si="4"/>
        <v>2.7999999999999994E-6</v>
      </c>
      <c r="J58" s="14">
        <f t="shared" si="6"/>
        <v>1.3999999999999999E-2</v>
      </c>
      <c r="K58" s="23">
        <v>0.7</v>
      </c>
      <c r="M58" s="5">
        <v>14</v>
      </c>
      <c r="N58" s="1">
        <v>1400</v>
      </c>
      <c r="O58" s="13">
        <f t="shared" si="5"/>
        <v>6.9999999999999986E-7</v>
      </c>
      <c r="P58" s="14">
        <f t="shared" si="7"/>
        <v>1.2E-2</v>
      </c>
      <c r="Q58" s="31">
        <v>0.6</v>
      </c>
    </row>
    <row r="59" spans="1:22" x14ac:dyDescent="0.3">
      <c r="A59" s="5">
        <v>14</v>
      </c>
      <c r="B59" s="1">
        <v>1499</v>
      </c>
      <c r="C59" s="13">
        <f t="shared" si="8"/>
        <v>2.9979999999999997E-7</v>
      </c>
      <c r="D59" s="14">
        <f t="shared" si="3"/>
        <v>3.4149999999998851E-6</v>
      </c>
      <c r="E59" s="26">
        <v>-0.99658500000000005</v>
      </c>
      <c r="G59" s="5">
        <v>14</v>
      </c>
      <c r="H59" s="1">
        <v>1499</v>
      </c>
      <c r="I59" s="13">
        <f t="shared" si="4"/>
        <v>2.9979999999999995E-6</v>
      </c>
      <c r="J59" s="14">
        <f t="shared" si="6"/>
        <v>1.3999999999999999E-2</v>
      </c>
      <c r="K59" s="23">
        <v>0.7</v>
      </c>
      <c r="M59" s="5">
        <v>14</v>
      </c>
      <c r="N59" s="1">
        <v>1499</v>
      </c>
      <c r="O59" s="13">
        <f t="shared" si="5"/>
        <v>7.4949999999999988E-7</v>
      </c>
      <c r="P59" s="14">
        <f t="shared" si="7"/>
        <v>1.2E-2</v>
      </c>
      <c r="Q59" s="31">
        <v>0.6</v>
      </c>
    </row>
    <row r="60" spans="1:22" x14ac:dyDescent="0.3">
      <c r="A60" s="5">
        <v>15</v>
      </c>
      <c r="B60" s="1">
        <v>1500</v>
      </c>
      <c r="C60" s="13">
        <f t="shared" si="8"/>
        <v>2.9999999999999999E-7</v>
      </c>
      <c r="D60" s="14">
        <f t="shared" si="3"/>
        <v>3.0599999999999985E-5</v>
      </c>
      <c r="E60" s="26">
        <v>-0.96940000000000004</v>
      </c>
      <c r="G60" s="5">
        <v>15</v>
      </c>
      <c r="H60" s="1">
        <v>1500</v>
      </c>
      <c r="I60" s="13">
        <f t="shared" si="4"/>
        <v>2.9999999999999997E-6</v>
      </c>
      <c r="J60" s="14">
        <f t="shared" si="6"/>
        <v>1.4999999999999999E-2</v>
      </c>
      <c r="K60" s="23">
        <v>0.75</v>
      </c>
      <c r="M60" s="5">
        <v>15</v>
      </c>
      <c r="N60" s="1">
        <v>1500</v>
      </c>
      <c r="O60" s="13">
        <f t="shared" si="5"/>
        <v>7.4999999999999991E-7</v>
      </c>
      <c r="P60" s="14">
        <f t="shared" si="7"/>
        <v>0.01</v>
      </c>
      <c r="Q60" s="31">
        <v>0.5</v>
      </c>
    </row>
    <row r="61" spans="1:22" x14ac:dyDescent="0.3">
      <c r="A61" s="5">
        <v>15</v>
      </c>
      <c r="B61" s="1">
        <v>1599</v>
      </c>
      <c r="C61" s="13">
        <f t="shared" si="8"/>
        <v>3.1979999999999999E-7</v>
      </c>
      <c r="D61" s="14">
        <f t="shared" si="3"/>
        <v>3.0599999999999985E-5</v>
      </c>
      <c r="E61" s="26">
        <v>-0.96940000000000004</v>
      </c>
      <c r="G61" s="5">
        <v>15</v>
      </c>
      <c r="H61" s="1">
        <v>1599</v>
      </c>
      <c r="I61" s="13">
        <f t="shared" si="4"/>
        <v>3.1979999999999997E-6</v>
      </c>
      <c r="J61" s="14">
        <f t="shared" si="6"/>
        <v>1.4999999999999999E-2</v>
      </c>
      <c r="K61" s="23">
        <v>0.75</v>
      </c>
      <c r="M61" s="5">
        <v>15</v>
      </c>
      <c r="N61" s="1">
        <v>1599</v>
      </c>
      <c r="O61" s="13">
        <f t="shared" si="5"/>
        <v>7.9949999999999993E-7</v>
      </c>
      <c r="P61" s="14">
        <f t="shared" si="7"/>
        <v>0.01</v>
      </c>
      <c r="Q61" s="31">
        <v>0.5</v>
      </c>
    </row>
    <row r="62" spans="1:22" x14ac:dyDescent="0.3">
      <c r="A62" s="5">
        <v>16</v>
      </c>
      <c r="B62" s="1">
        <v>1600</v>
      </c>
      <c r="C62" s="13">
        <f t="shared" si="8"/>
        <v>3.1999999999999995E-7</v>
      </c>
      <c r="D62" s="14">
        <f t="shared" si="3"/>
        <v>1.6283300000000003E-4</v>
      </c>
      <c r="E62" s="26">
        <v>-0.83716699999999999</v>
      </c>
      <c r="G62" s="5">
        <v>16</v>
      </c>
      <c r="H62" s="1">
        <v>1600</v>
      </c>
      <c r="I62" s="13">
        <f t="shared" si="4"/>
        <v>3.1999999999999994E-6</v>
      </c>
      <c r="J62" s="14">
        <f t="shared" si="6"/>
        <v>1.6E-2</v>
      </c>
      <c r="K62" s="23">
        <v>0.8</v>
      </c>
      <c r="M62" s="5">
        <v>16</v>
      </c>
      <c r="N62" s="1">
        <v>1600</v>
      </c>
      <c r="O62" s="13">
        <f t="shared" si="5"/>
        <v>7.9999999999999986E-7</v>
      </c>
      <c r="P62" s="14">
        <f t="shared" si="7"/>
        <v>8.0000000000000002E-3</v>
      </c>
      <c r="Q62" s="31">
        <v>0.4</v>
      </c>
    </row>
    <row r="63" spans="1:22" x14ac:dyDescent="0.3">
      <c r="A63" s="5">
        <v>16</v>
      </c>
      <c r="B63" s="1">
        <v>1699</v>
      </c>
      <c r="C63" s="13">
        <f t="shared" si="8"/>
        <v>3.3979999999999996E-7</v>
      </c>
      <c r="D63" s="14">
        <f t="shared" si="3"/>
        <v>1.6283300000000003E-4</v>
      </c>
      <c r="E63" s="26">
        <v>-0.83716699999999999</v>
      </c>
      <c r="G63" s="5">
        <v>16</v>
      </c>
      <c r="H63" s="1">
        <v>1699</v>
      </c>
      <c r="I63" s="13">
        <f t="shared" si="4"/>
        <v>3.3979999999999995E-6</v>
      </c>
      <c r="J63" s="14">
        <f t="shared" si="6"/>
        <v>1.6E-2</v>
      </c>
      <c r="K63" s="23">
        <v>0.8</v>
      </c>
      <c r="M63" s="5">
        <v>16</v>
      </c>
      <c r="N63" s="1">
        <v>1699</v>
      </c>
      <c r="O63" s="13">
        <f t="shared" si="5"/>
        <v>8.4949999999999987E-7</v>
      </c>
      <c r="P63" s="14">
        <f t="shared" si="7"/>
        <v>8.0000000000000002E-3</v>
      </c>
      <c r="Q63" s="31">
        <v>0.4</v>
      </c>
      <c r="R63" s="1"/>
    </row>
    <row r="64" spans="1:22" x14ac:dyDescent="0.3">
      <c r="A64" s="5">
        <v>17</v>
      </c>
      <c r="B64" s="1">
        <v>1700</v>
      </c>
      <c r="C64" s="13">
        <f t="shared" si="8"/>
        <v>3.3999999999999997E-7</v>
      </c>
      <c r="D64" s="14">
        <f t="shared" si="3"/>
        <v>3.8578699999999996E-4</v>
      </c>
      <c r="E64" s="26">
        <v>-0.61421300000000001</v>
      </c>
      <c r="G64" s="5">
        <v>17</v>
      </c>
      <c r="H64" s="1">
        <v>1700</v>
      </c>
      <c r="I64" s="13">
        <f t="shared" si="4"/>
        <v>3.3999999999999996E-6</v>
      </c>
      <c r="J64" s="14">
        <f t="shared" si="6"/>
        <v>1.7000000000000001E-2</v>
      </c>
      <c r="K64" s="23">
        <v>0.85</v>
      </c>
      <c r="M64" s="5">
        <v>17</v>
      </c>
      <c r="N64" s="1">
        <v>1700</v>
      </c>
      <c r="O64" s="13">
        <f t="shared" si="5"/>
        <v>8.4999999999999991E-7</v>
      </c>
      <c r="P64" s="14">
        <f t="shared" si="7"/>
        <v>6.0000000000000001E-3</v>
      </c>
      <c r="Q64" s="31">
        <v>0.3</v>
      </c>
      <c r="R64" s="1"/>
      <c r="T64" s="1"/>
      <c r="U64" s="1"/>
      <c r="V64" s="1"/>
    </row>
    <row r="65" spans="1:22" x14ac:dyDescent="0.3">
      <c r="A65" s="5">
        <v>17</v>
      </c>
      <c r="B65" s="1">
        <v>1799</v>
      </c>
      <c r="C65" s="13">
        <f t="shared" si="8"/>
        <v>3.5979999999999998E-7</v>
      </c>
      <c r="D65" s="14">
        <f t="shared" si="3"/>
        <v>3.8578699999999996E-4</v>
      </c>
      <c r="E65" s="26">
        <v>-0.61421300000000001</v>
      </c>
      <c r="G65" s="5">
        <v>17</v>
      </c>
      <c r="H65" s="1">
        <v>1799</v>
      </c>
      <c r="I65" s="13">
        <f t="shared" si="4"/>
        <v>3.5979999999999997E-6</v>
      </c>
      <c r="J65" s="14">
        <f t="shared" si="6"/>
        <v>1.7000000000000001E-2</v>
      </c>
      <c r="K65" s="23">
        <v>0.85</v>
      </c>
      <c r="M65" s="5">
        <v>17</v>
      </c>
      <c r="N65" s="1">
        <v>1799</v>
      </c>
      <c r="O65" s="13">
        <f t="shared" si="5"/>
        <v>8.9949999999999992E-7</v>
      </c>
      <c r="P65" s="14">
        <f t="shared" si="7"/>
        <v>6.0000000000000001E-3</v>
      </c>
      <c r="Q65" s="31">
        <v>0.3</v>
      </c>
      <c r="R65" s="1"/>
      <c r="T65" s="1"/>
      <c r="U65" s="1"/>
      <c r="V65" s="1"/>
    </row>
    <row r="66" spans="1:22" x14ac:dyDescent="0.3">
      <c r="A66" s="5">
        <v>18</v>
      </c>
      <c r="B66" s="1">
        <v>1800</v>
      </c>
      <c r="C66" s="13">
        <f t="shared" si="8"/>
        <v>3.5999999999999994E-7</v>
      </c>
      <c r="D66" s="14">
        <f t="shared" si="3"/>
        <v>6.7529999999999999E-4</v>
      </c>
      <c r="E66" s="26">
        <v>-0.32469999999999999</v>
      </c>
      <c r="G66" s="5">
        <v>18</v>
      </c>
      <c r="H66" s="1">
        <v>1800</v>
      </c>
      <c r="I66" s="13">
        <f t="shared" si="4"/>
        <v>3.5999999999999994E-6</v>
      </c>
      <c r="J66" s="14">
        <f t="shared" si="6"/>
        <v>1.8000000000000002E-2</v>
      </c>
      <c r="K66" s="23">
        <v>0.9</v>
      </c>
      <c r="M66" s="5">
        <v>18</v>
      </c>
      <c r="N66" s="1">
        <v>1800</v>
      </c>
      <c r="O66" s="13">
        <f t="shared" si="5"/>
        <v>8.9999999999999985E-7</v>
      </c>
      <c r="P66" s="14">
        <f t="shared" si="7"/>
        <v>4.0000000000000001E-3</v>
      </c>
      <c r="Q66" s="31">
        <v>0.2</v>
      </c>
      <c r="R66" s="1"/>
      <c r="U66" s="1"/>
      <c r="V66" s="1"/>
    </row>
    <row r="67" spans="1:22" x14ac:dyDescent="0.3">
      <c r="A67" s="5">
        <v>18</v>
      </c>
      <c r="B67" s="1">
        <v>1899</v>
      </c>
      <c r="C67" s="13">
        <f t="shared" si="8"/>
        <v>3.7979999999999995E-7</v>
      </c>
      <c r="D67" s="14">
        <f t="shared" si="3"/>
        <v>6.7529999999999999E-4</v>
      </c>
      <c r="E67" s="26">
        <v>-0.32469999999999999</v>
      </c>
      <c r="G67" s="5">
        <v>18</v>
      </c>
      <c r="H67" s="1">
        <v>1899</v>
      </c>
      <c r="I67" s="13">
        <f t="shared" si="4"/>
        <v>3.7979999999999995E-6</v>
      </c>
      <c r="J67" s="14">
        <f t="shared" si="6"/>
        <v>1.8000000000000002E-2</v>
      </c>
      <c r="K67" s="23">
        <v>0.9</v>
      </c>
      <c r="M67" s="5">
        <v>18</v>
      </c>
      <c r="N67" s="1">
        <v>1899</v>
      </c>
      <c r="O67" s="13">
        <f t="shared" si="5"/>
        <v>9.4949999999999987E-7</v>
      </c>
      <c r="P67" s="14">
        <f t="shared" si="7"/>
        <v>4.0000000000000001E-3</v>
      </c>
      <c r="Q67" s="31">
        <v>0.2</v>
      </c>
      <c r="R67" s="1"/>
      <c r="T67" s="1"/>
      <c r="V67" s="1"/>
    </row>
    <row r="68" spans="1:22" x14ac:dyDescent="0.3">
      <c r="A68" s="5">
        <v>19</v>
      </c>
      <c r="B68" s="1">
        <v>1900</v>
      </c>
      <c r="C68" s="13">
        <f t="shared" si="8"/>
        <v>3.7999999999999996E-7</v>
      </c>
      <c r="D68" s="14">
        <f t="shared" si="3"/>
        <v>1E-3</v>
      </c>
      <c r="E68" s="26">
        <v>0</v>
      </c>
      <c r="G68" s="5">
        <v>19</v>
      </c>
      <c r="H68" s="1">
        <v>1900</v>
      </c>
      <c r="I68" s="13">
        <f t="shared" si="4"/>
        <v>3.7999999999999996E-6</v>
      </c>
      <c r="J68" s="14">
        <f t="shared" si="6"/>
        <v>1.9E-2</v>
      </c>
      <c r="K68" s="23">
        <v>0.95</v>
      </c>
      <c r="M68" s="5">
        <v>19</v>
      </c>
      <c r="N68" s="1">
        <v>1900</v>
      </c>
      <c r="O68" s="13">
        <f t="shared" si="5"/>
        <v>9.499999999999999E-7</v>
      </c>
      <c r="P68" s="14">
        <f t="shared" si="7"/>
        <v>2E-3</v>
      </c>
      <c r="Q68" s="23">
        <v>0.1</v>
      </c>
      <c r="R68" s="1"/>
      <c r="S68" s="1"/>
      <c r="T68" s="1"/>
      <c r="V68" s="1"/>
    </row>
    <row r="69" spans="1:22" x14ac:dyDescent="0.3">
      <c r="A69" s="5">
        <v>19</v>
      </c>
      <c r="B69" s="1">
        <v>1999</v>
      </c>
      <c r="C69" s="25">
        <f t="shared" si="8"/>
        <v>3.9979999999999997E-7</v>
      </c>
      <c r="D69" s="28">
        <f t="shared" si="3"/>
        <v>1E-3</v>
      </c>
      <c r="E69" s="26">
        <v>0</v>
      </c>
      <c r="G69" s="5">
        <v>19</v>
      </c>
      <c r="H69" s="1">
        <v>1999</v>
      </c>
      <c r="I69" s="13">
        <f t="shared" si="4"/>
        <v>3.9979999999999997E-6</v>
      </c>
      <c r="J69" s="14">
        <f t="shared" si="6"/>
        <v>1.9E-2</v>
      </c>
      <c r="K69" s="23">
        <v>0.95</v>
      </c>
      <c r="M69" s="5">
        <v>19</v>
      </c>
      <c r="N69" s="1">
        <v>1999</v>
      </c>
      <c r="O69" s="18">
        <f t="shared" si="5"/>
        <v>9.9949999999999992E-7</v>
      </c>
      <c r="P69" s="14">
        <f t="shared" si="7"/>
        <v>2E-3</v>
      </c>
      <c r="Q69" s="32">
        <v>0.1</v>
      </c>
      <c r="R69" s="1"/>
      <c r="S69" s="1"/>
      <c r="T69" s="1"/>
      <c r="V69" s="1"/>
    </row>
    <row r="70" spans="1:22" ht="15" thickBot="1" x14ac:dyDescent="0.35">
      <c r="A70" s="7">
        <v>20</v>
      </c>
      <c r="B70" s="10">
        <v>2000</v>
      </c>
      <c r="C70" s="29">
        <f t="shared" si="8"/>
        <v>3.9999999999999998E-7</v>
      </c>
      <c r="D70" s="30">
        <f t="shared" si="3"/>
        <v>1E-3</v>
      </c>
      <c r="E70" s="26">
        <v>0</v>
      </c>
      <c r="G70" s="7">
        <v>20</v>
      </c>
      <c r="H70" s="10">
        <v>2000</v>
      </c>
      <c r="I70" s="12">
        <f t="shared" si="4"/>
        <v>3.9999999999999998E-6</v>
      </c>
      <c r="J70" s="15">
        <f t="shared" si="6"/>
        <v>0</v>
      </c>
      <c r="K70" s="24">
        <v>0</v>
      </c>
      <c r="M70" s="7">
        <v>20</v>
      </c>
      <c r="N70" s="10">
        <v>2000</v>
      </c>
      <c r="O70" s="12">
        <f t="shared" si="5"/>
        <v>9.9999999999999995E-7</v>
      </c>
      <c r="P70" s="14">
        <f t="shared" si="7"/>
        <v>0</v>
      </c>
      <c r="Q70" s="24">
        <v>0</v>
      </c>
      <c r="R70" s="1"/>
      <c r="S70" s="1"/>
      <c r="T70" s="1"/>
      <c r="V70" s="1"/>
    </row>
    <row r="71" spans="1:22" ht="15" thickBot="1" x14ac:dyDescent="0.35">
      <c r="Q71" s="1"/>
      <c r="R71" s="1"/>
      <c r="S71" s="1"/>
      <c r="T71" s="1"/>
      <c r="V71" s="1"/>
    </row>
    <row r="72" spans="1:22" x14ac:dyDescent="0.3">
      <c r="A72" s="2" t="s">
        <v>6</v>
      </c>
      <c r="B72" s="3" t="s">
        <v>7</v>
      </c>
      <c r="C72" s="4" t="s">
        <v>8</v>
      </c>
      <c r="G72" s="2" t="s">
        <v>6</v>
      </c>
      <c r="H72" s="3" t="s">
        <v>7</v>
      </c>
      <c r="I72" s="4" t="s">
        <v>8</v>
      </c>
      <c r="M72" s="2" t="s">
        <v>6</v>
      </c>
      <c r="N72" s="3" t="s">
        <v>7</v>
      </c>
      <c r="O72" s="4" t="s">
        <v>8</v>
      </c>
      <c r="Q72" s="1"/>
      <c r="R72" s="1"/>
      <c r="S72" s="1"/>
      <c r="T72" s="1"/>
      <c r="V72" s="1"/>
    </row>
    <row r="73" spans="1:22" ht="15" thickBot="1" x14ac:dyDescent="0.35">
      <c r="A73" s="7">
        <f>1/B73</f>
        <v>3.9999999999999998E-7</v>
      </c>
      <c r="B73" s="17">
        <v>2500000</v>
      </c>
      <c r="C73" s="27">
        <f>A73/2000</f>
        <v>1.9999999999999998E-10</v>
      </c>
      <c r="G73" s="7">
        <f>1/H73</f>
        <v>3.9999999999999998E-6</v>
      </c>
      <c r="H73" s="17">
        <f>250000</f>
        <v>250000</v>
      </c>
      <c r="I73" s="27">
        <f>G73/2000</f>
        <v>1.9999999999999997E-9</v>
      </c>
      <c r="M73" s="7">
        <f>1/N73</f>
        <v>9.9999999999999995E-7</v>
      </c>
      <c r="N73" s="17">
        <v>1000000</v>
      </c>
      <c r="O73" s="27">
        <f>M73/2000</f>
        <v>4.9999999999999993E-10</v>
      </c>
      <c r="Q73" s="1"/>
      <c r="R73" s="1"/>
      <c r="S73" s="1"/>
      <c r="T73" s="1"/>
      <c r="V73" s="1"/>
    </row>
    <row r="74" spans="1:22" ht="15" thickBot="1" x14ac:dyDescent="0.35">
      <c r="Q74" s="1"/>
      <c r="R74" s="1"/>
      <c r="S74" s="1"/>
      <c r="T74" s="1"/>
      <c r="V74" s="1"/>
    </row>
    <row r="75" spans="1:22" x14ac:dyDescent="0.3">
      <c r="B75" s="20" t="s">
        <v>9</v>
      </c>
      <c r="H75" s="20" t="s">
        <v>9</v>
      </c>
      <c r="N75" s="20" t="s">
        <v>9</v>
      </c>
      <c r="Q75" s="1"/>
      <c r="R75" s="1"/>
      <c r="S75" s="1"/>
      <c r="T75" s="1"/>
      <c r="V75" s="1"/>
    </row>
    <row r="76" spans="1:22" ht="15" thickBot="1" x14ac:dyDescent="0.35">
      <c r="B76" s="21">
        <v>2E-3</v>
      </c>
      <c r="H76" s="21">
        <v>0.02</v>
      </c>
      <c r="N76" s="21">
        <v>0.02</v>
      </c>
      <c r="Q76" s="1"/>
      <c r="R76" s="1"/>
      <c r="S76" s="1"/>
      <c r="T76" s="1"/>
      <c r="V76" s="1"/>
    </row>
    <row r="77" spans="1:22" x14ac:dyDescent="0.3">
      <c r="Q77" s="1"/>
      <c r="R77" s="1"/>
      <c r="S77" s="1"/>
      <c r="T77" s="1"/>
      <c r="V77" s="1"/>
    </row>
    <row r="78" spans="1:22" x14ac:dyDescent="0.3">
      <c r="Q78" s="1"/>
      <c r="R78" s="1"/>
      <c r="S78" s="1"/>
      <c r="T78" s="1"/>
      <c r="V78" s="1"/>
    </row>
    <row r="79" spans="1:22" x14ac:dyDescent="0.3">
      <c r="Q79" s="1"/>
      <c r="R79" s="1"/>
      <c r="S79" s="1"/>
      <c r="T79" s="1"/>
      <c r="V79" s="1"/>
    </row>
    <row r="80" spans="1:22" x14ac:dyDescent="0.3">
      <c r="Q80" s="1"/>
      <c r="R80" s="1"/>
      <c r="S80" s="1"/>
      <c r="T80" s="1"/>
      <c r="V80" s="1"/>
    </row>
    <row r="81" spans="4:22" x14ac:dyDescent="0.3">
      <c r="Q81" s="1"/>
      <c r="R81" s="1"/>
      <c r="S81" s="1"/>
      <c r="T81" s="1"/>
      <c r="V81" s="1"/>
    </row>
    <row r="82" spans="4:22" x14ac:dyDescent="0.3">
      <c r="Q82" s="1"/>
      <c r="R82" s="1"/>
      <c r="S82" s="1"/>
      <c r="T82" s="1"/>
      <c r="V82" s="1"/>
    </row>
    <row r="83" spans="4:22" x14ac:dyDescent="0.3">
      <c r="D83" s="19"/>
      <c r="Q83" s="1"/>
      <c r="R83" s="1"/>
      <c r="S83" s="1"/>
      <c r="T83" s="1"/>
      <c r="V83" s="1"/>
    </row>
    <row r="84" spans="4:22" x14ac:dyDescent="0.3">
      <c r="D84" s="19"/>
      <c r="Q84" s="1"/>
      <c r="R84" s="1"/>
      <c r="S84" s="1"/>
      <c r="T84" s="1"/>
      <c r="V84" s="1"/>
    </row>
    <row r="85" spans="4:22" x14ac:dyDescent="0.3">
      <c r="D85" s="19"/>
      <c r="Q85" s="1"/>
      <c r="R85" s="1"/>
      <c r="S85" s="1"/>
      <c r="T85" s="1"/>
      <c r="V85" s="1"/>
    </row>
    <row r="86" spans="4:22" x14ac:dyDescent="0.3">
      <c r="D86" s="19"/>
      <c r="Q86" s="1"/>
      <c r="R86" s="1"/>
      <c r="S86" s="1"/>
      <c r="T86" s="1"/>
      <c r="V86" s="1"/>
    </row>
    <row r="87" spans="4:22" x14ac:dyDescent="0.3">
      <c r="D87" s="19"/>
      <c r="Q87" s="1"/>
      <c r="R87" s="1"/>
      <c r="S87" s="1"/>
      <c r="T87" s="1"/>
      <c r="V87" s="1"/>
    </row>
    <row r="88" spans="4:22" x14ac:dyDescent="0.3">
      <c r="D88" s="19"/>
      <c r="Q88" s="1"/>
      <c r="R88" s="1"/>
      <c r="S88" s="1"/>
      <c r="T88" s="1"/>
      <c r="V88" s="1"/>
    </row>
    <row r="89" spans="4:22" x14ac:dyDescent="0.3">
      <c r="D89" s="19"/>
      <c r="Q89" s="1"/>
      <c r="R89" s="1"/>
      <c r="S89" s="1"/>
      <c r="T89" s="1"/>
      <c r="V89" s="1"/>
    </row>
    <row r="90" spans="4:22" x14ac:dyDescent="0.3">
      <c r="D90" s="19"/>
      <c r="Q90" s="1"/>
      <c r="R90" s="1"/>
      <c r="S90" s="1"/>
      <c r="T90" s="1"/>
      <c r="V90" s="1"/>
    </row>
    <row r="91" spans="4:22" x14ac:dyDescent="0.3">
      <c r="D91" s="19"/>
      <c r="Q91" s="1"/>
      <c r="R91" s="1"/>
      <c r="S91" s="1"/>
      <c r="T91" s="1"/>
      <c r="V91" s="1"/>
    </row>
    <row r="92" spans="4:22" x14ac:dyDescent="0.3">
      <c r="D92" s="19"/>
      <c r="Q92" s="1"/>
      <c r="R92" s="1"/>
      <c r="S92" s="1"/>
      <c r="T92" s="1"/>
      <c r="V92" s="1"/>
    </row>
    <row r="93" spans="4:22" x14ac:dyDescent="0.3">
      <c r="D93" s="19"/>
      <c r="Q93" s="1"/>
      <c r="R93" s="1"/>
      <c r="S93" s="1"/>
      <c r="T93" s="1"/>
      <c r="V93" s="1"/>
    </row>
    <row r="94" spans="4:22" x14ac:dyDescent="0.3">
      <c r="D94" s="19"/>
      <c r="Q94" s="1"/>
      <c r="R94" s="1"/>
      <c r="S94" s="1"/>
      <c r="T94" s="1"/>
      <c r="V94" s="1"/>
    </row>
    <row r="95" spans="4:22" x14ac:dyDescent="0.3">
      <c r="D95" s="19"/>
      <c r="Q95" s="1"/>
      <c r="R95" s="1"/>
      <c r="S95" s="1"/>
      <c r="T95" s="1"/>
      <c r="V95" s="1"/>
    </row>
    <row r="96" spans="4:22" x14ac:dyDescent="0.3">
      <c r="D96" s="19"/>
      <c r="Q96" s="1"/>
      <c r="R96" s="1"/>
      <c r="S96" s="1"/>
      <c r="T96" s="1"/>
      <c r="V96" s="1"/>
    </row>
    <row r="97" spans="4:22" x14ac:dyDescent="0.3">
      <c r="D97" s="19"/>
      <c r="Q97" s="1"/>
      <c r="R97" s="1"/>
      <c r="S97" s="1"/>
      <c r="T97" s="1"/>
      <c r="V97" s="1"/>
    </row>
    <row r="98" spans="4:22" x14ac:dyDescent="0.3">
      <c r="D98" s="19"/>
      <c r="Q98" s="1"/>
      <c r="R98" s="1"/>
      <c r="S98" s="1"/>
      <c r="T98" s="1"/>
      <c r="V98" s="1"/>
    </row>
    <row r="99" spans="4:22" x14ac:dyDescent="0.3">
      <c r="D99" s="19"/>
      <c r="Q99" s="1"/>
      <c r="R99" s="1"/>
      <c r="S99" s="1"/>
      <c r="T99" s="1"/>
      <c r="V99" s="1"/>
    </row>
    <row r="100" spans="4:22" x14ac:dyDescent="0.3">
      <c r="D100" s="19"/>
      <c r="Q100" s="1"/>
      <c r="R100" s="1"/>
      <c r="S100" s="1"/>
      <c r="T100" s="1"/>
      <c r="V100" s="1"/>
    </row>
    <row r="101" spans="4:22" x14ac:dyDescent="0.3">
      <c r="D101" s="19"/>
      <c r="Q101" s="1"/>
      <c r="R101" s="1"/>
      <c r="S101" s="1"/>
      <c r="T101" s="1"/>
      <c r="V101" s="1"/>
    </row>
    <row r="102" spans="4:22" x14ac:dyDescent="0.3">
      <c r="D102" s="19"/>
      <c r="Q102" s="1"/>
      <c r="R102" s="1"/>
      <c r="S102" s="1"/>
      <c r="T102" s="1"/>
      <c r="V102" s="1"/>
    </row>
    <row r="103" spans="4:22" x14ac:dyDescent="0.3">
      <c r="D103" s="19"/>
    </row>
    <row r="104" spans="4:22" x14ac:dyDescent="0.3">
      <c r="D104" s="19"/>
    </row>
    <row r="105" spans="4:22" x14ac:dyDescent="0.3">
      <c r="D105" s="19"/>
    </row>
    <row r="106" spans="4:22" x14ac:dyDescent="0.3">
      <c r="D106" s="19"/>
    </row>
    <row r="107" spans="4:22" x14ac:dyDescent="0.3">
      <c r="D107" s="19"/>
    </row>
    <row r="108" spans="4:22" x14ac:dyDescent="0.3">
      <c r="D108" s="19"/>
    </row>
    <row r="109" spans="4:22" x14ac:dyDescent="0.3">
      <c r="D109" s="19"/>
    </row>
    <row r="110" spans="4:22" x14ac:dyDescent="0.3">
      <c r="D110" s="19"/>
    </row>
    <row r="111" spans="4:22" x14ac:dyDescent="0.3">
      <c r="D111" s="19"/>
    </row>
    <row r="112" spans="4:22" x14ac:dyDescent="0.3">
      <c r="D112" s="19"/>
    </row>
    <row r="113" spans="4:4" x14ac:dyDescent="0.3">
      <c r="D113" s="19"/>
    </row>
    <row r="114" spans="4:4" x14ac:dyDescent="0.3">
      <c r="D114" s="19"/>
    </row>
    <row r="115" spans="4:4" x14ac:dyDescent="0.3">
      <c r="D115" s="19"/>
    </row>
    <row r="116" spans="4:4" x14ac:dyDescent="0.3">
      <c r="D116" s="19"/>
    </row>
    <row r="117" spans="4:4" x14ac:dyDescent="0.3">
      <c r="D117" s="19"/>
    </row>
    <row r="118" spans="4:4" x14ac:dyDescent="0.3">
      <c r="D118" s="19"/>
    </row>
    <row r="119" spans="4:4" x14ac:dyDescent="0.3">
      <c r="D119" s="19"/>
    </row>
    <row r="120" spans="4:4" x14ac:dyDescent="0.3">
      <c r="D120" s="19"/>
    </row>
    <row r="121" spans="4:4" x14ac:dyDescent="0.3">
      <c r="D121" s="19"/>
    </row>
    <row r="122" spans="4:4" x14ac:dyDescent="0.3">
      <c r="D122" s="19"/>
    </row>
    <row r="123" spans="4:4" x14ac:dyDescent="0.3">
      <c r="D12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249AB2-81AE-4505-8ADB-92B16E31EC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Φύλλο1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Κώστας Ψαρράς</dc:creator>
  <cp:lastModifiedBy>Κωνσταντινος Ψαρρας</cp:lastModifiedBy>
  <dcterms:created xsi:type="dcterms:W3CDTF">2015-06-05T18:19:34Z</dcterms:created>
  <dcterms:modified xsi:type="dcterms:W3CDTF">2025-08-29T09:44:03Z</dcterms:modified>
</cp:coreProperties>
</file>